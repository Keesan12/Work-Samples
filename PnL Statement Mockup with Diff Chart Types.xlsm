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filterPrivacy="1" codeName="ThisWorkbook" defaultThemeVersion="124226"/>
  <xr:revisionPtr revIDLastSave="141" documentId="8_{A706A92B-EFD1-44E3-A89B-D9024A706FE8}" xr6:coauthVersionLast="46" xr6:coauthVersionMax="46" xr10:uidLastSave="{C777490E-9D8E-4BA5-BE25-2329AB1F1D4B}"/>
  <bookViews>
    <workbookView xWindow="44880" yWindow="-120" windowWidth="38640" windowHeight="15840" firstSheet="5" activeTab="11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hart" sheetId="35" r:id="rId11"/>
    <sheet name="Bridge Chart" sheetId="27" r:id="rId12"/>
    <sheet name="Treemap Charts" sheetId="28" r:id="rId13"/>
    <sheet name="Doughnut Chart" sheetId="31" r:id="rId14"/>
    <sheet name="Area Chart" sheetId="32" r:id="rId15"/>
    <sheet name="EBITDA Bridge Chart" sheetId="33" r:id="rId16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  <definedName name="_xlchart.v1.0" hidden="1">'Bridge Chart'!$N$5:$N$10</definedName>
    <definedName name="_xlchart.v1.1" hidden="1">'Bridge Chart'!$O$5:$O$10</definedName>
    <definedName name="_xlchart.v1.2" hidden="1">'Treemap Charts'!$A$4:$B$15</definedName>
    <definedName name="_xlchart.v1.3" hidden="1">'Treemap Charts'!$C$3</definedName>
    <definedName name="_xlchart.v1.4" hidden="1">'Treemap Charts'!$C$4:$C$15</definedName>
    <definedName name="_xlchart.v1.5" hidden="1">'EBITDA Bridge Chart'!$B$4:$B$8</definedName>
    <definedName name="_xlchart.v1.6" hidden="1">'EBITDA Bridge Chart'!$C$4:$C$8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33" l="1"/>
  <c r="C8" i="33"/>
  <c r="C7" i="33"/>
  <c r="C6" i="33"/>
  <c r="C5" i="33"/>
  <c r="C4" i="33"/>
  <c r="D4" i="32" l="1"/>
  <c r="E4" i="32"/>
  <c r="D5" i="32"/>
  <c r="E5" i="32"/>
  <c r="C5" i="32"/>
  <c r="C4" i="32"/>
  <c r="E6" i="31"/>
  <c r="D6" i="31"/>
  <c r="C6" i="31"/>
  <c r="E5" i="31"/>
  <c r="D5" i="31"/>
  <c r="C5" i="31"/>
  <c r="E4" i="31"/>
  <c r="D4" i="31"/>
  <c r="C4" i="31"/>
  <c r="D7" i="35"/>
  <c r="E7" i="35"/>
  <c r="C7" i="35"/>
  <c r="D6" i="35"/>
  <c r="E6" i="35"/>
  <c r="D5" i="35"/>
  <c r="E5" i="35"/>
  <c r="D4" i="35"/>
  <c r="E4" i="35"/>
  <c r="C5" i="35"/>
  <c r="C6" i="35"/>
  <c r="C4" i="35"/>
  <c r="O10" i="27" l="1"/>
  <c r="H94" i="10" l="1"/>
  <c r="G94" i="10"/>
  <c r="F94" i="10"/>
  <c r="H60" i="10"/>
  <c r="E51" i="21" s="1"/>
  <c r="G60" i="10"/>
  <c r="D51" i="21" s="1"/>
  <c r="F60" i="10"/>
  <c r="C51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14" i="21" s="1"/>
  <c r="H38" i="10"/>
  <c r="H37" i="10"/>
  <c r="H36" i="10"/>
  <c r="H35" i="10"/>
  <c r="H34" i="10"/>
  <c r="H33" i="10"/>
  <c r="E12" i="21" s="1"/>
  <c r="H32" i="10"/>
  <c r="H31" i="10"/>
  <c r="H30" i="10"/>
  <c r="H29" i="10"/>
  <c r="E15" i="21" s="1"/>
  <c r="H28" i="10"/>
  <c r="H27" i="10"/>
  <c r="H26" i="10"/>
  <c r="H25" i="10"/>
  <c r="H24" i="10"/>
  <c r="H23" i="10"/>
  <c r="H22" i="10"/>
  <c r="H21" i="10"/>
  <c r="H20" i="10"/>
  <c r="E6" i="21" s="1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D15" i="21" s="1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D10" i="21" s="1"/>
  <c r="G10" i="10"/>
  <c r="D8" i="21" s="1"/>
  <c r="G9" i="10"/>
  <c r="G8" i="10"/>
  <c r="G7" i="10"/>
  <c r="G6" i="10"/>
  <c r="G5" i="10"/>
  <c r="D5" i="21" s="1"/>
  <c r="G4" i="10"/>
  <c r="D4" i="21" s="1"/>
  <c r="G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C13" i="21" s="1"/>
  <c r="F33" i="10"/>
  <c r="C12" i="21" s="1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C18" i="21" s="1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H15" i="21" l="1"/>
  <c r="G14" i="21"/>
  <c r="H12" i="21"/>
  <c r="G12" i="21"/>
  <c r="H8" i="21"/>
  <c r="G8" i="21"/>
  <c r="E7" i="21"/>
  <c r="H4" i="21"/>
  <c r="G5" i="21"/>
  <c r="C6" i="21"/>
  <c r="C7" i="21" s="1"/>
  <c r="C9" i="21" s="1"/>
  <c r="C27" i="21" s="1"/>
  <c r="E16" i="21"/>
  <c r="E11" i="21"/>
  <c r="C15" i="21"/>
  <c r="G15" i="21" s="1"/>
  <c r="D16" i="21"/>
  <c r="D11" i="21"/>
  <c r="E21" i="21"/>
  <c r="C10" i="21"/>
  <c r="G10" i="21" s="1"/>
  <c r="D6" i="21"/>
  <c r="C16" i="21"/>
  <c r="C11" i="21"/>
  <c r="D21" i="21"/>
  <c r="C21" i="21"/>
  <c r="E20" i="21"/>
  <c r="E23" i="21"/>
  <c r="D20" i="21"/>
  <c r="D23" i="21"/>
  <c r="E18" i="21"/>
  <c r="E13" i="21"/>
  <c r="C20" i="21"/>
  <c r="C23" i="21"/>
  <c r="D18" i="21"/>
  <c r="G18" i="21" s="1"/>
  <c r="D13" i="21"/>
  <c r="G13" i="21" s="1"/>
  <c r="E10" i="21"/>
  <c r="H10" i="21" s="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3" i="21" l="1"/>
  <c r="G20" i="21"/>
  <c r="H20" i="21"/>
  <c r="H21" i="21"/>
  <c r="E9" i="21"/>
  <c r="E27" i="21" s="1"/>
  <c r="G11" i="21"/>
  <c r="G21" i="21"/>
  <c r="G16" i="21"/>
  <c r="H13" i="21"/>
  <c r="D7" i="21"/>
  <c r="H7" i="21" s="1"/>
  <c r="G6" i="21"/>
  <c r="H6" i="21"/>
  <c r="H18" i="21"/>
  <c r="H11" i="21"/>
  <c r="G23" i="21"/>
  <c r="H16" i="21"/>
  <c r="E17" i="21"/>
  <c r="E28" i="21" s="1"/>
  <c r="C17" i="21"/>
  <c r="C19" i="21" l="1"/>
  <c r="C28" i="21"/>
  <c r="E19" i="21"/>
  <c r="E29" i="21" s="1"/>
  <c r="D9" i="21"/>
  <c r="D27" i="21" s="1"/>
  <c r="G7" i="21"/>
  <c r="C22" i="21" l="1"/>
  <c r="C24" i="21" s="1"/>
  <c r="C53" i="21" s="1"/>
  <c r="C29" i="21"/>
  <c r="D17" i="21"/>
  <c r="D28" i="21" s="1"/>
  <c r="G9" i="21"/>
  <c r="E22" i="21"/>
  <c r="H9" i="21"/>
  <c r="E24" i="21" l="1"/>
  <c r="D19" i="21"/>
  <c r="D29" i="21" s="1"/>
  <c r="G17" i="21"/>
  <c r="H17" i="21"/>
  <c r="G19" i="21" l="1"/>
  <c r="D22" i="21"/>
  <c r="H19" i="21"/>
  <c r="E53" i="21"/>
  <c r="D24" i="21" l="1"/>
  <c r="G22" i="21"/>
  <c r="H22" i="21"/>
  <c r="D53" i="21" l="1"/>
  <c r="G24" i="21"/>
  <c r="H24" i="21"/>
</calcChain>
</file>

<file path=xl/sharedStrings.xml><?xml version="1.0" encoding="utf-8"?>
<sst xmlns="http://schemas.openxmlformats.org/spreadsheetml/2006/main" count="1030" uniqueCount="287">
  <si>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</si>
  <si>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</si>
  <si>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</si>
  <si>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</si>
  <si>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</si>
  <si>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</si>
  <si>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</si>
  <si>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</si>
  <si>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</si>
  <si>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</si>
  <si>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</si>
  <si>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</si>
  <si>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</si>
  <si>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</si>
  <si>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</si>
  <si>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</si>
  <si>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</si>
  <si>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</si>
  <si>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</si>
  <si>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</si>
  <si>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</si>
  <si>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</si>
  <si>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</si>
  <si>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</si>
  <si>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</si>
  <si>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</si>
  <si>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</si>
  <si>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</si>
  <si>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</si>
  <si>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</si>
  <si>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</si>
  <si>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</si>
  <si>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</si>
  <si>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</si>
  <si>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</si>
  <si>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</si>
  <si>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</si>
  <si>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</si>
  <si>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</si>
  <si>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</si>
  <si>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</si>
  <si>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</si>
  <si>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</si>
  <si>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</si>
  <si>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</si>
  <si>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</si>
  <si>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</si>
  <si>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</si>
  <si>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</si>
  <si>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</si>
  <si>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</si>
  <si>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</si>
  <si>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</si>
  <si>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</si>
  <si>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</si>
  <si>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</si>
  <si>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</si>
  <si>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</si>
  <si>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</si>
  <si>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</si>
  <si>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</si>
  <si>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</si>
  <si>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</si>
  <si>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</si>
  <si>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</si>
  <si>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</si>
  <si>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</si>
  <si>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</si>
  <si>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</si>
  <si>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</si>
  <si>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</si>
  <si>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</si>
  <si>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</si>
  <si>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</si>
  <si>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</si>
  <si>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</si>
  <si>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</si>
  <si>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</si>
  <si>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</si>
  <si>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</si>
  <si>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</si>
  <si>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</si>
  <si>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</si>
  <si>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</si>
  <si>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</si>
  <si>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</si>
  <si>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</si>
  <si>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</si>
  <si>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</si>
  <si>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</si>
  <si>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</si>
  <si>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</si>
  <si>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</si>
  <si>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</si>
  <si>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</si>
  <si>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</si>
  <si>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</si>
  <si>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</si>
  <si>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</si>
  <si>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</si>
  <si>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</si>
  <si>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</si>
  <si>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</si>
  <si>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</si>
  <si>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</si>
  <si>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</si>
  <si>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</si>
  <si>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</si>
  <si>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</si>
  <si>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</si>
  <si>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</si>
  <si>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</si>
  <si>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</si>
  <si>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</si>
  <si>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</si>
  <si>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</si>
  <si>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</si>
  <si>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</si>
  <si>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</si>
  <si>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</si>
  <si>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</si>
  <si>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</si>
  <si>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</si>
  <si>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</si>
  <si>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</si>
  <si>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</si>
  <si>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</si>
  <si>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</si>
  <si>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</si>
  <si>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</si>
  <si>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</si>
  <si>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</si>
  <si>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</si>
  <si>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</si>
  <si>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</si>
  <si>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</si>
  <si>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</si>
  <si>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</si>
  <si>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</si>
  <si>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</si>
  <si>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</si>
  <si>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</si>
  <si>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</si>
  <si>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</si>
  <si>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</si>
  <si>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</si>
  <si>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</si>
  <si>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</si>
  <si>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</si>
  <si>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</si>
  <si>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</si>
  <si>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</si>
  <si>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</si>
  <si>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</si>
  <si>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</si>
  <si>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</si>
  <si>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</si>
  <si>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</si>
  <si>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</si>
  <si>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</si>
  <si>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</si>
  <si>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</si>
  <si>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</si>
  <si>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</si>
  <si>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</si>
  <si>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</si>
  <si>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</si>
  <si>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</si>
  <si>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</si>
  <si>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</si>
  <si>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</si>
  <si>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</si>
  <si>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</si>
  <si>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</si>
  <si>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</si>
  <si>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</si>
  <si>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</si>
  <si>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</si>
  <si>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</si>
  <si>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</si>
  <si>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</si>
  <si>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</si>
  <si>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</si>
  <si>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</si>
  <si>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</si>
  <si>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</si>
  <si>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</si>
  <si>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</si>
  <si>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</si>
  <si>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</si>
  <si>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</si>
  <si>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</si>
  <si>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</si>
  <si>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</si>
  <si>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</si>
  <si>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</si>
  <si>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</si>
  <si>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</si>
  <si>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</si>
  <si>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</si>
  <si>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</si>
  <si>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</si>
  <si>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</si>
  <si>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</si>
  <si>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</si>
  <si>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</si>
  <si>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</si>
  <si>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</si>
  <si>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</si>
  <si>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</si>
  <si>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</si>
  <si>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</si>
  <si>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</si>
  <si>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</si>
  <si>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</si>
  <si>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</si>
  <si>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</si>
  <si>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</si>
  <si>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</si>
  <si>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</si>
  <si>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</si>
  <si>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</si>
  <si>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</si>
  <si>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</si>
  <si>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</si>
  <si>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</si>
  <si>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</si>
  <si>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</si>
  <si>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</si>
  <si>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</si>
  <si>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</si>
  <si>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</si>
  <si>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</si>
  <si>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</si>
  <si>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</si>
  <si>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</si>
  <si>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</si>
  <si>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</si>
  <si>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</si>
  <si>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</si>
  <si>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</si>
  <si>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</si>
  <si>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</si>
  <si>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</si>
  <si>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 xml:space="preserve">Random Case Study To Demonstrate Skills By Vakeesan Mahalingam </t>
  </si>
  <si>
    <t xml:space="preserve">Most Data generated using RANDBETWEEN function to populate random numbers </t>
  </si>
  <si>
    <t>P&amp;L names and mapping categories generated mostly from S&amp;P 500 firm categories on BBG</t>
  </si>
  <si>
    <t>Note</t>
  </si>
  <si>
    <t>Check</t>
  </si>
  <si>
    <t>Var% FY17-FY18</t>
  </si>
  <si>
    <t>Var% FY16-FY17</t>
  </si>
  <si>
    <t xml:space="preserve">Formula for calculating year on year % variations: </t>
  </si>
  <si>
    <t>IF(ISERROR((D4/C4)-1),"NA",IF(((D4/C4)-1&gt;1,"&gt;100.0%", IF(((D4/C4)-1)&lt;-1,"&lt;-100.0%",((D4/C4)-1)))</t>
  </si>
  <si>
    <t>KPIs</t>
  </si>
  <si>
    <t>GM%</t>
  </si>
  <si>
    <t>EBITDA%</t>
  </si>
  <si>
    <t>EBTI%</t>
  </si>
  <si>
    <t>Bridge Chart</t>
  </si>
  <si>
    <t>Country</t>
  </si>
  <si>
    <t>City</t>
  </si>
  <si>
    <t>Italy</t>
  </si>
  <si>
    <t>Rome</t>
  </si>
  <si>
    <t>Milan</t>
  </si>
  <si>
    <t>Florence</t>
  </si>
  <si>
    <t>Venice</t>
  </si>
  <si>
    <t>France</t>
  </si>
  <si>
    <t>Paris</t>
  </si>
  <si>
    <t>Nizza</t>
  </si>
  <si>
    <t>Marseille</t>
  </si>
  <si>
    <t>Nantes</t>
  </si>
  <si>
    <t>United Kingdom</t>
  </si>
  <si>
    <t>London</t>
  </si>
  <si>
    <t>Manchester</t>
  </si>
  <si>
    <t>Newcastle</t>
  </si>
  <si>
    <t>Liverpool</t>
  </si>
  <si>
    <t>Popular Tourist Destinations</t>
  </si>
  <si>
    <t>Number of Tourists</t>
  </si>
  <si>
    <t>Column stacked chart</t>
  </si>
  <si>
    <t>Gross Margin %</t>
  </si>
  <si>
    <t>Revenue</t>
  </si>
  <si>
    <t>Area &amp; Line Chart</t>
  </si>
  <si>
    <t>Bridge chart</t>
  </si>
  <si>
    <t>EBITDA FY17</t>
  </si>
  <si>
    <t>Changes in Revenue</t>
  </si>
  <si>
    <t>Changes in Variable Costs</t>
  </si>
  <si>
    <t>Changes in Opex</t>
  </si>
  <si>
    <t>EBITDA 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</si>
</sst>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</font>
    <font>
      <b/>
      <sz val="14"/>
      <color theme="0"/>
      <name val="Arial"/>
      <family val="2"/>
    </font>
    <font>
      <sz val="11"/>
      <color rgb="FF002060"/>
      <name val="Calibri"/>
      <family val="2"/>
      <scheme val="minor"/>
    </font>
    <font>
      <b/>
      <sz val="10"/>
      <color rgb="FF002060"/>
      <name val="Arial"/>
      <family val="2"/>
    </font>
    <font>
      <sz val="12"/>
      <color theme="1"/>
      <name val="Arial"/>
      <family val="2"/>
    </font>
    <font>
      <b/>
      <sz val="16"/>
      <color rgb="FF00206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  <xf numFmtId="44" fontId="13" fillId="0" borderId="0" applyFont="0" applyFill="0" applyBorder="0" applyAlignment="0" applyProtection="0"/>
  </cellStyleXfs>
  <cellXfs count="9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4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4" fillId="2" borderId="2" xfId="0" applyFont="1" applyFill="1" applyBorder="1"/>
    <xf numFmtId="0" fontId="18" fillId="2" borderId="3" xfId="0" applyFont="1" applyFill="1" applyBorder="1"/>
    <xf numFmtId="0" fontId="10" fillId="3" borderId="3" xfId="0" applyFont="1" applyFill="1" applyBorder="1"/>
    <xf numFmtId="0" fontId="20" fillId="2" borderId="4" xfId="0" applyFont="1" applyFill="1" applyBorder="1"/>
    <xf numFmtId="0" fontId="21" fillId="3" borderId="0" xfId="0" applyFont="1" applyFill="1" applyAlignment="1">
      <alignment horizontal="left"/>
    </xf>
    <xf numFmtId="0" fontId="18" fillId="2" borderId="0" xfId="0" applyFont="1" applyFill="1" applyBorder="1"/>
    <xf numFmtId="0" fontId="18" fillId="2" borderId="5" xfId="0" applyFont="1" applyFill="1" applyBorder="1"/>
    <xf numFmtId="0" fontId="0" fillId="2" borderId="5" xfId="0" applyFill="1" applyBorder="1"/>
    <xf numFmtId="0" fontId="20" fillId="2" borderId="0" xfId="0" applyFont="1" applyFill="1" applyBorder="1"/>
    <xf numFmtId="0" fontId="18" fillId="2" borderId="0" xfId="0" applyFont="1" applyFill="1" applyAlignment="1">
      <alignment wrapText="1"/>
    </xf>
    <xf numFmtId="0" fontId="4" fillId="2" borderId="2" xfId="0" applyFont="1" applyFill="1" applyBorder="1" applyAlignment="1">
      <alignment wrapText="1"/>
    </xf>
    <xf numFmtId="0" fontId="18" fillId="2" borderId="0" xfId="0" applyFont="1" applyFill="1" applyAlignment="1">
      <alignment horizontal="left"/>
    </xf>
    <xf numFmtId="43" fontId="18" fillId="2" borderId="0" xfId="2" applyFont="1" applyFill="1" applyAlignment="1">
      <alignment horizontal="left"/>
    </xf>
    <xf numFmtId="43" fontId="18" fillId="2" borderId="3" xfId="2" applyFont="1" applyFill="1" applyBorder="1" applyAlignment="1">
      <alignment horizontal="left"/>
    </xf>
    <xf numFmtId="43" fontId="1" fillId="2" borderId="0" xfId="2" applyFont="1" applyFill="1" applyAlignment="1">
      <alignment horizontal="left"/>
    </xf>
    <xf numFmtId="43" fontId="0" fillId="2" borderId="0" xfId="2" applyFont="1" applyFill="1" applyAlignment="1">
      <alignment horizontal="left"/>
    </xf>
    <xf numFmtId="165" fontId="20" fillId="2" borderId="4" xfId="2" applyNumberFormat="1" applyFont="1" applyFill="1" applyBorder="1" applyAlignment="1">
      <alignment horizontal="left"/>
    </xf>
    <xf numFmtId="165" fontId="20" fillId="2" borderId="0" xfId="2" applyNumberFormat="1" applyFont="1" applyFill="1" applyBorder="1" applyAlignment="1">
      <alignment horizontal="left"/>
    </xf>
    <xf numFmtId="43" fontId="18" fillId="2" borderId="0" xfId="2" applyNumberFormat="1" applyFont="1" applyFill="1" applyAlignment="1">
      <alignment horizontal="left"/>
    </xf>
    <xf numFmtId="0" fontId="0" fillId="2" borderId="0" xfId="0" applyFill="1" applyAlignment="1">
      <alignment horizontal="left"/>
    </xf>
    <xf numFmtId="165" fontId="18" fillId="2" borderId="0" xfId="2" applyNumberFormat="1" applyFont="1" applyFill="1" applyBorder="1" applyAlignment="1">
      <alignment horizontal="left"/>
    </xf>
    <xf numFmtId="0" fontId="18" fillId="2" borderId="5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43" fontId="18" fillId="5" borderId="0" xfId="2" applyFont="1" applyFill="1" applyAlignment="1">
      <alignment horizontal="left"/>
    </xf>
    <xf numFmtId="9" fontId="18" fillId="2" borderId="0" xfId="4" applyFont="1" applyFill="1"/>
    <xf numFmtId="43" fontId="10" fillId="3" borderId="3" xfId="2" applyFont="1" applyFill="1" applyBorder="1" applyAlignment="1">
      <alignment horizontal="left"/>
    </xf>
    <xf numFmtId="43" fontId="20" fillId="2" borderId="3" xfId="2" applyFont="1" applyFill="1" applyBorder="1" applyAlignment="1">
      <alignment horizontal="left"/>
    </xf>
    <xf numFmtId="0" fontId="20" fillId="2" borderId="0" xfId="0" applyFont="1" applyFill="1"/>
    <xf numFmtId="0" fontId="18" fillId="2" borderId="0" xfId="0" applyFont="1" applyFill="1" applyAlignment="1">
      <alignment horizontal="right"/>
    </xf>
    <xf numFmtId="0" fontId="18" fillId="2" borderId="0" xfId="0" applyFont="1" applyFill="1" applyAlignment="1">
      <alignment horizontal="right" wrapText="1"/>
    </xf>
    <xf numFmtId="0" fontId="4" fillId="2" borderId="2" xfId="0" applyFont="1" applyFill="1" applyBorder="1" applyAlignment="1">
      <alignment horizontal="right" wrapText="1"/>
    </xf>
    <xf numFmtId="9" fontId="18" fillId="2" borderId="0" xfId="4" applyFont="1" applyFill="1" applyAlignment="1">
      <alignment horizontal="right"/>
    </xf>
    <xf numFmtId="9" fontId="20" fillId="2" borderId="3" xfId="4" applyFont="1" applyFill="1" applyBorder="1" applyAlignment="1">
      <alignment horizontal="right"/>
    </xf>
    <xf numFmtId="9" fontId="20" fillId="2" borderId="4" xfId="4" applyFont="1" applyFill="1" applyBorder="1" applyAlignment="1">
      <alignment horizontal="right"/>
    </xf>
    <xf numFmtId="9" fontId="10" fillId="3" borderId="3" xfId="4" applyFont="1" applyFill="1" applyBorder="1" applyAlignment="1">
      <alignment horizontal="right"/>
    </xf>
    <xf numFmtId="43" fontId="18" fillId="2" borderId="0" xfId="2" applyNumberFormat="1" applyFont="1" applyFill="1" applyBorder="1" applyAlignment="1">
      <alignment horizontal="left"/>
    </xf>
    <xf numFmtId="0" fontId="18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20" fillId="6" borderId="0" xfId="0" applyFont="1" applyFill="1" applyBorder="1"/>
    <xf numFmtId="165" fontId="20" fillId="6" borderId="0" xfId="2" applyNumberFormat="1" applyFont="1" applyFill="1" applyBorder="1" applyAlignment="1">
      <alignment horizontal="left"/>
    </xf>
    <xf numFmtId="0" fontId="1" fillId="6" borderId="0" xfId="0" applyFont="1" applyFill="1" applyBorder="1"/>
    <xf numFmtId="9" fontId="1" fillId="6" borderId="0" xfId="4" applyFont="1" applyFill="1" applyBorder="1" applyAlignment="1">
      <alignment horizontal="left"/>
    </xf>
    <xf numFmtId="165" fontId="18" fillId="2" borderId="0" xfId="0" applyNumberFormat="1" applyFont="1" applyFill="1" applyAlignment="1">
      <alignment horizontal="right"/>
    </xf>
    <xf numFmtId="165" fontId="18" fillId="2" borderId="0" xfId="0" applyNumberFormat="1" applyFont="1" applyFill="1"/>
    <xf numFmtId="0" fontId="22" fillId="2" borderId="0" xfId="0" applyFont="1" applyFill="1"/>
    <xf numFmtId="0" fontId="23" fillId="2" borderId="5" xfId="0" applyFont="1" applyFill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horizontal="right"/>
    </xf>
    <xf numFmtId="2" fontId="24" fillId="2" borderId="0" xfId="0" applyNumberFormat="1" applyFont="1" applyFill="1"/>
    <xf numFmtId="166" fontId="24" fillId="2" borderId="0" xfId="0" applyNumberFormat="1" applyFont="1" applyFill="1"/>
    <xf numFmtId="167" fontId="24" fillId="2" borderId="0" xfId="4" applyNumberFormat="1" applyFont="1" applyFill="1"/>
    <xf numFmtId="0" fontId="25" fillId="2" borderId="0" xfId="0" applyFont="1" applyFill="1"/>
    <xf numFmtId="44" fontId="0" fillId="2" borderId="0" xfId="5" applyFont="1" applyFill="1"/>
    <xf numFmtId="0" fontId="0" fillId="4" borderId="0" xfId="0" applyFill="1"/>
    <xf numFmtId="43" fontId="0" fillId="2" borderId="0" xfId="0" applyNumberFormat="1" applyFill="1"/>
    <xf numFmtId="43" fontId="0" fillId="4" borderId="0" xfId="0" applyNumberFormat="1" applyFill="1"/>
  </cellXfs>
  <cellStyles count="6">
    <cellStyle name="Comma" xfId="2" builtinId="3"/>
    <cellStyle name="Currency" xfId="5" builtinId="4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15928697251341"/>
          <c:y val="0"/>
          <c:w val="0.82139886614217927"/>
          <c:h val="0.830183570763154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'2.2 P&amp;L statement'!$C$4:$E$4</c:f>
              <c:numCache>
                <c:formatCode>_(* #,##0.00_);_(* \(#,##0.00\);_(*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45-42DF-95A5-23CEDE40B591}"/>
            </c:ext>
          </c:extLst>
        </c:ser>
        <c:ser>
          <c:idx val="1"/>
          <c:order val="1"/>
          <c:tx>
            <c:strRef>
              <c:f>'2.2 P&amp;L statement'!$B$5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'2.2 P&amp;L statement'!$C$5:$E$5</c:f>
              <c:numCache>
                <c:formatCode>_(* #,##0.00_);_(* \(#,##0.00\);_(* "-"??_);_(@_)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45-42DF-95A5-23CEDE40B59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59926456"/>
        <c:axId val="459927736"/>
      </c:barChart>
      <c:dateAx>
        <c:axId val="4599264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59927736"/>
        <c:crosses val="autoZero"/>
        <c:auto val="0"/>
        <c:lblOffset val="100"/>
        <c:baseTimeUnit val="days"/>
      </c:dateAx>
      <c:valAx>
        <c:axId val="459927736"/>
        <c:scaling>
          <c:orientation val="minMax"/>
          <c:max val="18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  <a:alpha val="25000"/>
                </a:schemeClr>
              </a:solidFill>
              <a:prstDash val="sysDash"/>
              <a:round/>
            </a:ln>
            <a:effectLst/>
          </c:spPr>
        </c:majorGridlines>
        <c:numFmt formatCode="_(* #,##0.0_);_(* \(#,##0.0\);_(* &quot;-&quot;?_);_(@_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59926456"/>
        <c:crosses val="autoZero"/>
        <c:crossBetween val="between"/>
        <c:majorUnit val="3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73-4975-B1E2-4FE953F2DE33}"/>
            </c:ext>
          </c:extLst>
        </c:ser>
        <c:ser>
          <c:idx val="1"/>
          <c:order val="1"/>
          <c:tx>
            <c:strRef>
              <c:f>'Stacked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73-4975-B1E2-4FE953F2DE33}"/>
            </c:ext>
          </c:extLst>
        </c:ser>
        <c:ser>
          <c:idx val="2"/>
          <c:order val="2"/>
          <c:tx>
            <c:strRef>
              <c:f>'Stacked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73-4975-B1E2-4FE953F2D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92429584"/>
        <c:axId val="492430864"/>
      </c:barChart>
      <c:lineChart>
        <c:grouping val="standard"/>
        <c:varyColors val="0"/>
        <c:ser>
          <c:idx val="3"/>
          <c:order val="3"/>
          <c:tx>
            <c:strRef>
              <c:f>'Stacked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2073-4975-B1E2-4FE953F2D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70544"/>
        <c:axId val="755471824"/>
      </c:lineChart>
      <c:catAx>
        <c:axId val="49242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92430864"/>
        <c:crosses val="autoZero"/>
        <c:auto val="1"/>
        <c:lblAlgn val="ctr"/>
        <c:lblOffset val="100"/>
        <c:noMultiLvlLbl val="0"/>
      </c:catAx>
      <c:valAx>
        <c:axId val="49243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92429584"/>
        <c:crosses val="autoZero"/>
        <c:crossBetween val="between"/>
      </c:valAx>
      <c:valAx>
        <c:axId val="7554718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55470544"/>
        <c:crosses val="max"/>
        <c:crossBetween val="between"/>
      </c:valAx>
      <c:catAx>
        <c:axId val="755470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5471824"/>
        <c:crosses val="autoZero"/>
        <c:auto val="1"/>
        <c:lblAlgn val="ctr"/>
        <c:lblOffset val="100"/>
        <c:noMultiLvlLbl val="0"/>
      </c:catAx>
      <c:spPr>
        <a:noFill/>
        <a:ln w="0">
          <a:solidFill>
            <a:schemeClr val="bg1">
              <a:lumMod val="75000"/>
              <a:alpha val="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Breakdown</a:t>
            </a:r>
            <a:r>
              <a:rPr lang="en-US" sz="1000" b="1" baseline="0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of Revenue in FY18</a:t>
            </a:r>
            <a:endParaRPr lang="en-US" sz="1600" b="1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2.722468756858392E-2"/>
          <c:y val="2.58147920791274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A41-456E-B8F4-49A8721A7D12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41-456E-B8F4-49A8721A7D12}"/>
              </c:ext>
            </c:extLst>
          </c:dPt>
          <c:dPt>
            <c:idx val="2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7A41-456E-B8F4-49A8721A7D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'Doughnut Chart'!$B$4:$B$6</c15:sqref>
                  </c15:fullRef>
                </c:ext>
              </c:extLst>
              <c:f>'Doughnut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'Doughnut Chart'!$E$4:$E$7</c15:sqref>
                  </c15:fullRef>
                </c:ext>
              </c:extLst>
              <c:f>'Doughnut Chart'!$E$4:$E$6</c:f>
              <c:numCache>
                <c:formatCode>0.0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7A41-456E-B8F4-49A8721A7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</a:rPr>
              <a:t>FY16 - FY18 Revenues (in millions) and Gross Margin %</a:t>
            </a:r>
          </a:p>
        </c:rich>
      </c:tx>
      <c:layout>
        <c:manualLayout>
          <c:xMode val="edge"/>
          <c:yMode val="edge"/>
          <c:x val="1.3986001749781275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'Area Chart'!$B$4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'Area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'Area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E-448B-AC58-CC65D3376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645752"/>
        <c:axId val="879649592"/>
      </c:areaChart>
      <c:lineChart>
        <c:grouping val="standard"/>
        <c:varyColors val="0"/>
        <c:ser>
          <c:idx val="1"/>
          <c:order val="1"/>
          <c:tx>
            <c:strRef>
              <c:f>'Area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'Area Chart'!$C$5:$E$5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A0E-448B-AC58-CC65D3376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833912"/>
        <c:axId val="622830072"/>
      </c:lineChart>
      <c:catAx>
        <c:axId val="879645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79649592"/>
        <c:crosses val="autoZero"/>
        <c:auto val="1"/>
        <c:lblAlgn val="ctr"/>
        <c:lblOffset val="100"/>
        <c:noMultiLvlLbl val="0"/>
      </c:catAx>
      <c:valAx>
        <c:axId val="879649592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79645752"/>
        <c:crosses val="autoZero"/>
        <c:crossBetween val="between"/>
        <c:majorUnit val="2"/>
      </c:valAx>
      <c:valAx>
        <c:axId val="6228300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22833912"/>
        <c:crosses val="max"/>
        <c:crossBetween val="between"/>
      </c:valAx>
      <c:catAx>
        <c:axId val="622833912"/>
        <c:scaling>
          <c:orientation val="minMax"/>
        </c:scaling>
        <c:delete val="1"/>
        <c:axPos val="b"/>
        <c:majorTickMark val="out"/>
        <c:minorTickMark val="none"/>
        <c:tickLblPos val="nextTo"/>
        <c:crossAx val="6228300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EBITDA</a:t>
            </a: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</a:t>
            </a:r>
            <a:r>
              <a:rPr lang="en-US" sz="14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Waterfall</a:t>
            </a:r>
          </a:p>
        </cx:rich>
      </cx:tx>
    </cx:title>
    <cx:plotArea>
      <cx:plotAreaRegion>
        <cx:plotSurface>
          <cx:spPr>
            <a:noFill/>
            <a:ln>
              <a:noFill/>
            </a:ln>
            <a:effectLst>
              <a:glow rad="63500">
                <a:schemeClr val="accent2">
                  <a:satMod val="175000"/>
                  <a:alpha val="93000"/>
                </a:schemeClr>
              </a:glow>
            </a:effectLst>
          </cx:spPr>
        </cx:plotSurface>
        <cx:series layoutId="waterfall" uniqueId="{50E453AE-C399-45D5-9A0F-50B5B3AD390D}">
          <cx:dataLabels pos="outEnd">
            <cx:visibility seriesName="0" categoryName="0" value="1"/>
          </cx:dataLabels>
          <cx:dataId val="0"/>
          <cx:layoutPr>
            <cx:visibility connectorLines="1"/>
            <cx:subtotals>
              <cx:idx val="5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_xlchart.v1.4</cx:f>
      </cx:numDim>
    </cx:data>
  </cx:chartData>
  <cx:chart>
    <cx:title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14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title>
    <cx:plotArea>
      <cx:plotAreaRegion>
        <cx:series layoutId="treemap" uniqueId="{AE393008-6B7A-4AA6-A5C4-1D5AA6B66654}">
          <cx:tx>
            <cx:txData>
              <cx:f>_xlchart.v1.3</cx:f>
              <cx:v>Number of Tourists</cx:v>
            </cx:txData>
          </cx:tx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 b="1">
                    <a:ln>
                      <a:noFill/>
                    </a:ln>
                    <a:solidFill>
                      <a:sysClr val="window" lastClr="FFFFFF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 sz="800" b="1" i="0" u="none" strike="noStrike" baseline="0">
                  <a:ln>
                    <a:noFill/>
                  </a:ln>
                  <a:solidFill>
                    <a:sysClr val="window" lastClr="FFFFFF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1" value="1"/>
            <cx:separator>
</cx:separator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_xlchart.v1.6</cx:f>
      </cx:numDim>
    </cx:data>
  </cx:chartData>
  <cx:chart>
    <cx:title pos="t" align="ctr" overlay="0">
      <cx:tx>
        <cx:txData>
          <cx:v>EBITDA Bridge: FY17 - FY18</cx:v>
        </cx:txData>
      </cx:tx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595959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US" sz="1200" b="1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EBITDA Bridge: FY17 - FY18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waterfall" uniqueId="{B7E6519C-4B4B-45FF-9C5E-C7304DEE6AFD}"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92D050"/>
              </a:solidFill>
            </cx:spPr>
          </cx:dataPt>
          <cx:dataPt idx="3">
            <cx:spPr>
              <a:solidFill>
                <a:srgbClr val="92D050"/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outEnd">
            <cx:txPr>
              <a:bodyPr vertOverflow="overflow" horzOverflow="overflow" wrap="square" lIns="0" tIns="0" rIns="0" bIns="0"/>
              <a:lstStyle/>
              <a:p>
                <a:pPr algn="ctr" rtl="0">
                  <a:defRPr sz="800" b="0" i="0">
                    <a:solidFill>
                      <a:srgbClr val="595959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 sz="8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8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8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title>
          <cx:tx>
            <cx:txData>
              <cx:v>$ in million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$ in million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8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8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18182</xdr:colOff>
      <xdr:row>2</xdr:row>
      <xdr:rowOff>351126</xdr:rowOff>
    </xdr:from>
    <xdr:to>
      <xdr:col>14</xdr:col>
      <xdr:colOff>614796</xdr:colOff>
      <xdr:row>17</xdr:row>
      <xdr:rowOff>51955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D93609-51F3-4189-AEE4-1FF053F635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40481</xdr:colOff>
      <xdr:row>8</xdr:row>
      <xdr:rowOff>40479</xdr:rowOff>
    </xdr:from>
    <xdr:to>
      <xdr:col>7</xdr:col>
      <xdr:colOff>280987</xdr:colOff>
      <xdr:row>28</xdr:row>
      <xdr:rowOff>109536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CB0186-C484-47E7-B6C0-F4DBA38B02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161924</xdr:rowOff>
    </xdr:from>
    <xdr:to>
      <xdr:col>11</xdr:col>
      <xdr:colOff>195262</xdr:colOff>
      <xdr:row>25</xdr:row>
      <xdr:rowOff>109537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A9A7896-D557-47F8-8AFA-46D96B9DF6A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0050" y="161924"/>
              <a:ext cx="7734299" cy="4495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514349</xdr:colOff>
      <xdr:row>0</xdr:row>
      <xdr:rowOff>142873</xdr:rowOff>
    </xdr:from>
    <xdr:to>
      <xdr:col>14</xdr:col>
      <xdr:colOff>47624</xdr:colOff>
      <xdr:row>16</xdr:row>
      <xdr:rowOff>47625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7F7C9DE-B04B-4802-9860-2A5621B2D8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81499" y="142873"/>
              <a:ext cx="6010275" cy="28479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9</xdr:row>
      <xdr:rowOff>61912</xdr:rowOff>
    </xdr:from>
    <xdr:to>
      <xdr:col>5</xdr:col>
      <xdr:colOff>395288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1B91C6-4C41-4E8C-B64D-2E73429CC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0.24205</cdr:x>
      <cdr:y>0.5035</cdr:y>
    </cdr:from>
    <cdr:to>
      <cdr:x>0.53553</cdr:x>
      <cdr:y>0.58681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E80925D9-37D7-4D36-89DB-63FC023DB49F}"/>
            </a:ext>
          </a:extLst>
        </cdr:cNvPr>
        <cdr:cNvSpPr txBox="1"/>
      </cdr:nvSpPr>
      <cdr:spPr>
        <a:xfrm xmlns:a="http://schemas.openxmlformats.org/drawingml/2006/main">
          <a:off x="1087063" y="1781649"/>
          <a:ext cx="1318001" cy="29480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000" b="1">
              <a:latin typeface="Arial" panose="020B0604020202020204" pitchFamily="34" charset="0"/>
              <a:cs typeface="Arial" panose="020B0604020202020204" pitchFamily="34" charset="0"/>
            </a:rPr>
            <a:t>$26.3m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126206</xdr:colOff>
      <xdr:row>6</xdr:row>
      <xdr:rowOff>169067</xdr:rowOff>
    </xdr:from>
    <xdr:to>
      <xdr:col>6</xdr:col>
      <xdr:colOff>309563</xdr:colOff>
      <xdr:row>26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636F49-A70B-4855-847A-8613F5B05F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330993</xdr:colOff>
      <xdr:row>1</xdr:row>
      <xdr:rowOff>38101</xdr:rowOff>
    </xdr:from>
    <xdr:to>
      <xdr:col>12</xdr:col>
      <xdr:colOff>628650</xdr:colOff>
      <xdr:row>19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6E0A41C-7A34-49F9-B4A3-0647D6914C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31280" y="238126"/>
              <a:ext cx="6122195" cy="3248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E20" sqref="E20"/>
    </sheetView>
  </sheetViews>
  <sheetFormatPr defaultColWidth="9.1328125" defaultRowHeight="14.25" x14ac:dyDescent="0.45"/>
  <cols>
    <col min="1" max="1" width="2" style="1" customWidth="1"/>
    <col min="2" max="16384" width="9.1328125" style="1"/>
  </cols>
  <sheetData>
    <row r="12" spans="2:2" ht="40.15" x14ac:dyDescent="1.05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22"/>
  <sheetViews>
    <sheetView workbookViewId="0">
      <selection activeCell="I13" sqref="I13"/>
    </sheetView>
  </sheetViews>
  <sheetFormatPr defaultColWidth="9.1328125" defaultRowHeight="11.65" x14ac:dyDescent="0.35"/>
  <cols>
    <col min="1" max="1" width="2" style="2" customWidth="1"/>
    <col min="2" max="2" width="10" style="2" customWidth="1"/>
    <col min="3" max="3" width="26" style="2" customWidth="1"/>
    <col min="4" max="4" width="19.46484375" style="2" customWidth="1"/>
    <col min="5" max="16384" width="9.1328125" style="2"/>
  </cols>
  <sheetData>
    <row r="1" spans="2:4" ht="15" x14ac:dyDescent="0.4">
      <c r="B1" s="3" t="s">
        <v>244</v>
      </c>
    </row>
    <row r="2" spans="2:4" x14ac:dyDescent="0.35">
      <c r="B2" s="7" t="s">
        <v>57</v>
      </c>
    </row>
    <row r="4" spans="2:4" ht="12" thickBot="1" x14ac:dyDescent="0.4">
      <c r="B4" s="13" t="s">
        <v>58</v>
      </c>
      <c r="C4" s="13" t="s">
        <v>59</v>
      </c>
      <c r="D4" s="13" t="s">
        <v>60</v>
      </c>
    </row>
    <row r="5" spans="2:4" x14ac:dyDescent="0.35">
      <c r="B5" s="8">
        <v>1</v>
      </c>
      <c r="C5" s="15" t="s">
        <v>61</v>
      </c>
    </row>
    <row r="6" spans="2:4" x14ac:dyDescent="0.35">
      <c r="B6" s="11">
        <v>2</v>
      </c>
      <c r="C6" s="12" t="s">
        <v>62</v>
      </c>
      <c r="D6" s="12"/>
    </row>
    <row r="7" spans="2:4" x14ac:dyDescent="0.35">
      <c r="B7" s="8">
        <v>3</v>
      </c>
      <c r="C7" s="22" t="s">
        <v>108</v>
      </c>
    </row>
    <row r="8" spans="2:4" x14ac:dyDescent="0.35">
      <c r="B8" s="8">
        <v>4</v>
      </c>
      <c r="C8" s="22" t="s">
        <v>109</v>
      </c>
    </row>
    <row r="9" spans="2:4" x14ac:dyDescent="0.35">
      <c r="B9" s="8">
        <v>5</v>
      </c>
      <c r="C9" s="22" t="s">
        <v>110</v>
      </c>
    </row>
    <row r="10" spans="2:4" x14ac:dyDescent="0.35">
      <c r="B10" s="11">
        <v>6</v>
      </c>
      <c r="C10" s="12" t="s">
        <v>63</v>
      </c>
      <c r="D10" s="12"/>
    </row>
    <row r="11" spans="2:4" x14ac:dyDescent="0.35">
      <c r="B11" s="8">
        <v>7</v>
      </c>
      <c r="C11" s="15" t="s">
        <v>92</v>
      </c>
    </row>
    <row r="12" spans="2:4" x14ac:dyDescent="0.35">
      <c r="B12" s="8">
        <v>8</v>
      </c>
      <c r="C12" s="15" t="s">
        <v>93</v>
      </c>
    </row>
    <row r="13" spans="2:4" x14ac:dyDescent="0.35">
      <c r="B13" s="9">
        <v>19</v>
      </c>
      <c r="C13" s="12" t="s">
        <v>94</v>
      </c>
      <c r="D13" s="10"/>
    </row>
    <row r="14" spans="2:4" x14ac:dyDescent="0.35">
      <c r="B14" s="8">
        <v>20</v>
      </c>
      <c r="C14" s="15" t="s">
        <v>95</v>
      </c>
    </row>
    <row r="15" spans="2:4" x14ac:dyDescent="0.35">
      <c r="B15" s="8">
        <v>21</v>
      </c>
      <c r="C15" s="15" t="s">
        <v>96</v>
      </c>
    </row>
    <row r="16" spans="2:4" x14ac:dyDescent="0.35">
      <c r="B16" s="8">
        <v>22</v>
      </c>
      <c r="C16" s="15" t="s">
        <v>97</v>
      </c>
    </row>
    <row r="17" spans="2:4" x14ac:dyDescent="0.35">
      <c r="B17" s="8">
        <v>23</v>
      </c>
      <c r="C17" s="15" t="s">
        <v>98</v>
      </c>
    </row>
    <row r="20" spans="2:4" ht="17.649999999999999" x14ac:dyDescent="0.5">
      <c r="B20" s="39" t="s">
        <v>247</v>
      </c>
      <c r="C20" s="12"/>
      <c r="D20" s="10"/>
    </row>
    <row r="21" spans="2:4" x14ac:dyDescent="0.35">
      <c r="B21" s="2" t="s">
        <v>245</v>
      </c>
    </row>
    <row r="22" spans="2:4" x14ac:dyDescent="0.35">
      <c r="B22" s="2" t="s">
        <v>246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  <hyperlink ref="C9" location="'1.3 FY2018'!A1" display="1.3 FY2018" xr:uid="{00000000-0004-0000-0100-000002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328125" defaultRowHeight="11.65" x14ac:dyDescent="0.35"/>
  <cols>
    <col min="1" max="1" width="2" style="2" customWidth="1"/>
    <col min="2" max="16384" width="9.1328125" style="2"/>
  </cols>
  <sheetData>
    <row r="1" spans="2:2" ht="15" x14ac:dyDescent="0.4">
      <c r="B1" s="3"/>
    </row>
    <row r="12" spans="2:2" ht="40.15" x14ac:dyDescent="1.0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E35" sqref="E35"/>
    </sheetView>
  </sheetViews>
  <sheetFormatPr defaultColWidth="9.1328125" defaultRowHeight="14.25" x14ac:dyDescent="0.45"/>
  <cols>
    <col min="1" max="1" width="2" style="2" customWidth="1"/>
    <col min="2" max="2" width="11" style="2" bestFit="1" customWidth="1"/>
    <col min="3" max="3" width="30" style="2" customWidth="1"/>
    <col min="4" max="4" width="23.86328125" style="2" bestFit="1" customWidth="1"/>
    <col min="5" max="5" width="36.53125" style="2" bestFit="1" customWidth="1"/>
    <col min="6" max="6" width="11.6640625" style="2" bestFit="1" customWidth="1"/>
    <col min="7" max="7" width="11" style="2" bestFit="1" customWidth="1"/>
    <col min="9" max="16384" width="9.1328125" style="2"/>
  </cols>
  <sheetData>
    <row r="1" spans="2:7" ht="15.4" x14ac:dyDescent="0.45">
      <c r="C1" s="3" t="s">
        <v>111</v>
      </c>
    </row>
    <row r="4" spans="2:7" x14ac:dyDescent="0.45">
      <c r="B4" s="2" t="s">
        <v>114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45">
      <c r="B5" s="2" t="s">
        <v>115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45">
      <c r="B6" s="2" t="s">
        <v>116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45">
      <c r="B7" s="2" t="s">
        <v>117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45">
      <c r="B8" s="2" t="s">
        <v>118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45">
      <c r="B9" s="2" t="s">
        <v>119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45">
      <c r="B10" s="2" t="s">
        <v>120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45">
      <c r="B11" s="2" t="s">
        <v>121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45">
      <c r="B12" s="2" t="s">
        <v>122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45">
      <c r="B13" s="2" t="s">
        <v>123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45">
      <c r="B14" s="2" t="s">
        <v>124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45">
      <c r="B15" s="2" t="s">
        <v>125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45">
      <c r="B16" s="2" t="s">
        <v>126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45">
      <c r="B17" s="2" t="s">
        <v>127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45">
      <c r="B18" s="2" t="s">
        <v>128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45">
      <c r="B19" s="2" t="s">
        <v>129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45">
      <c r="B20" s="2" t="s">
        <v>130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45">
      <c r="B21" s="2" t="s">
        <v>131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45">
      <c r="B22" s="2" t="s">
        <v>132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45">
      <c r="B23" s="2" t="s">
        <v>133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45">
      <c r="B24" s="2" t="s">
        <v>134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45">
      <c r="B25" s="2" t="s">
        <v>135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45">
      <c r="B26" s="2" t="s">
        <v>136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45">
      <c r="B27" s="2" t="s">
        <v>137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45">
      <c r="B28" s="2" t="s">
        <v>138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45">
      <c r="B29" s="2" t="s">
        <v>139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45">
      <c r="B30" s="2" t="s">
        <v>140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45">
      <c r="B31" s="2" t="s">
        <v>141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45">
      <c r="B32" s="2" t="s">
        <v>142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45">
      <c r="B33" s="2" t="s">
        <v>143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45">
      <c r="B34" s="2" t="s">
        <v>144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45">
      <c r="B35" s="2" t="s">
        <v>145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45">
      <c r="B36" s="2" t="s">
        <v>146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45">
      <c r="B37" s="2" t="s">
        <v>147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45">
      <c r="B38" s="2" t="s">
        <v>148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45">
      <c r="B39" s="2" t="s">
        <v>149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45">
      <c r="B40" s="2" t="s">
        <v>150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45">
      <c r="B41" s="2" t="s">
        <v>151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45">
      <c r="B42" s="2" t="s">
        <v>152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45">
      <c r="B43" s="2" t="s">
        <v>153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45">
      <c r="B44" s="2" t="s">
        <v>154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45">
      <c r="B45" s="2" t="s">
        <v>155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45">
      <c r="B46" s="2" t="s">
        <v>156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45">
      <c r="B47" s="2" t="s">
        <v>157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45">
      <c r="B48" s="2" t="s">
        <v>158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45">
      <c r="B49" s="2" t="s">
        <v>159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45">
      <c r="B50" s="2" t="s">
        <v>160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45">
      <c r="B51" s="2" t="s">
        <v>161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45">
      <c r="B52" s="2" t="s">
        <v>162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45">
      <c r="B53" s="2" t="s">
        <v>163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45">
      <c r="B54" s="2" t="s">
        <v>164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45">
      <c r="B55" s="2" t="s">
        <v>165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45">
      <c r="B56" s="2" t="s">
        <v>166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45">
      <c r="B57" s="2" t="s">
        <v>167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45">
      <c r="B58" s="2" t="s">
        <v>168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45">
      <c r="B59" s="2" t="s">
        <v>169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45">
      <c r="B60" s="2" t="s">
        <v>170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45">
      <c r="B61" s="2" t="s">
        <v>171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45">
      <c r="D62" s="6"/>
      <c r="G62" s="5"/>
    </row>
    <row r="63" spans="2:7" x14ac:dyDescent="0.45">
      <c r="D63" s="6"/>
      <c r="G63" s="5"/>
    </row>
    <row r="64" spans="2:7" x14ac:dyDescent="0.45">
      <c r="D64" s="6"/>
      <c r="G64" s="5"/>
    </row>
    <row r="65" spans="4:7" x14ac:dyDescent="0.45">
      <c r="D65" s="6"/>
      <c r="G65" s="5"/>
    </row>
    <row r="66" spans="4:7" x14ac:dyDescent="0.45">
      <c r="D66" s="6"/>
      <c r="G66" s="5"/>
    </row>
    <row r="67" spans="4:7" x14ac:dyDescent="0.45">
      <c r="D67" s="6"/>
      <c r="G67" s="5"/>
    </row>
    <row r="68" spans="4:7" x14ac:dyDescent="0.45">
      <c r="D68" s="6"/>
      <c r="G68" s="5"/>
    </row>
    <row r="69" spans="4:7" x14ac:dyDescent="0.45">
      <c r="D69" s="6"/>
      <c r="G69" s="5"/>
    </row>
    <row r="70" spans="4:7" x14ac:dyDescent="0.45">
      <c r="D70" s="6"/>
      <c r="G70" s="5"/>
    </row>
    <row r="71" spans="4:7" x14ac:dyDescent="0.45">
      <c r="D71" s="6"/>
      <c r="G71" s="5"/>
    </row>
    <row r="72" spans="4:7" x14ac:dyDescent="0.45">
      <c r="D72" s="6"/>
      <c r="G72" s="5"/>
    </row>
    <row r="73" spans="4:7" x14ac:dyDescent="0.45">
      <c r="D73" s="6"/>
      <c r="G73" s="5"/>
    </row>
    <row r="74" spans="4:7" x14ac:dyDescent="0.45">
      <c r="D74" s="6"/>
      <c r="G74" s="5"/>
    </row>
    <row r="75" spans="4:7" x14ac:dyDescent="0.45">
      <c r="D75" s="6"/>
      <c r="G75" s="5"/>
    </row>
    <row r="76" spans="4:7" x14ac:dyDescent="0.45">
      <c r="D76" s="6"/>
      <c r="G76" s="5"/>
    </row>
    <row r="77" spans="4:7" x14ac:dyDescent="0.45">
      <c r="D77" s="6"/>
      <c r="G77" s="5"/>
    </row>
    <row r="78" spans="4:7" x14ac:dyDescent="0.45">
      <c r="D78" s="6"/>
      <c r="G78" s="5"/>
    </row>
    <row r="79" spans="4:7" x14ac:dyDescent="0.45">
      <c r="D79" s="6"/>
      <c r="G79" s="5"/>
    </row>
    <row r="80" spans="4:7" x14ac:dyDescent="0.45">
      <c r="D80" s="6"/>
      <c r="G80" s="5"/>
    </row>
    <row r="81" spans="4:7" x14ac:dyDescent="0.45">
      <c r="D81" s="6"/>
      <c r="G81" s="5"/>
    </row>
    <row r="82" spans="4:7" x14ac:dyDescent="0.45">
      <c r="D82" s="6"/>
      <c r="G82" s="5"/>
    </row>
    <row r="83" spans="4:7" x14ac:dyDescent="0.45">
      <c r="D83" s="6"/>
      <c r="G83" s="5"/>
    </row>
    <row r="84" spans="4:7" x14ac:dyDescent="0.45">
      <c r="D84" s="6"/>
      <c r="G84" s="5"/>
    </row>
    <row r="85" spans="4:7" x14ac:dyDescent="0.45">
      <c r="D85" s="6"/>
      <c r="G85" s="5"/>
    </row>
    <row r="86" spans="4:7" x14ac:dyDescent="0.45">
      <c r="D86" s="6"/>
      <c r="G86" s="5"/>
    </row>
    <row r="87" spans="4:7" x14ac:dyDescent="0.45">
      <c r="D87" s="6"/>
      <c r="G87" s="5"/>
    </row>
    <row r="88" spans="4:7" x14ac:dyDescent="0.45">
      <c r="D88" s="6"/>
      <c r="G88" s="5"/>
    </row>
    <row r="89" spans="4:7" x14ac:dyDescent="0.45">
      <c r="D89" s="6"/>
      <c r="G89" s="5"/>
    </row>
    <row r="90" spans="4:7" x14ac:dyDescent="0.45">
      <c r="D90" s="6"/>
      <c r="G90" s="5"/>
    </row>
    <row r="91" spans="4:7" x14ac:dyDescent="0.45">
      <c r="D91" s="6"/>
      <c r="G91" s="5"/>
    </row>
    <row r="92" spans="4:7" x14ac:dyDescent="0.45">
      <c r="D92" s="6"/>
      <c r="G92" s="5"/>
    </row>
    <row r="93" spans="4:7" x14ac:dyDescent="0.45">
      <c r="D93" s="6"/>
      <c r="G93" s="5"/>
    </row>
    <row r="94" spans="4:7" x14ac:dyDescent="0.45">
      <c r="D94" s="6"/>
      <c r="G94" s="5"/>
    </row>
    <row r="95" spans="4:7" x14ac:dyDescent="0.45">
      <c r="D95" s="6"/>
      <c r="G95" s="5"/>
    </row>
    <row r="96" spans="4:7" x14ac:dyDescent="0.45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/>
  </sheetViews>
  <sheetFormatPr defaultColWidth="9.1328125" defaultRowHeight="14.25" x14ac:dyDescent="0.45"/>
  <cols>
    <col min="1" max="1" width="2" style="2" customWidth="1"/>
    <col min="2" max="2" width="9.1328125" style="2"/>
    <col min="3" max="3" width="34.86328125" style="2" bestFit="1" customWidth="1"/>
    <col min="4" max="4" width="21.1328125" style="2" bestFit="1" customWidth="1"/>
    <col min="5" max="5" width="37.53125" style="2" bestFit="1" customWidth="1"/>
    <col min="6" max="6" width="11.53125" style="2" bestFit="1" customWidth="1"/>
    <col min="7" max="7" width="11" style="2" bestFit="1" customWidth="1"/>
    <col min="9" max="16384" width="9.1328125" style="2"/>
  </cols>
  <sheetData>
    <row r="1" spans="2:7" ht="15.4" x14ac:dyDescent="0.45">
      <c r="B1" s="3" t="s">
        <v>112</v>
      </c>
    </row>
    <row r="4" spans="2:7" x14ac:dyDescent="0.45">
      <c r="B4" s="2" t="s">
        <v>114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45">
      <c r="B5" s="2" t="s">
        <v>172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45">
      <c r="B6" s="2" t="s">
        <v>115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45">
      <c r="B7" s="2" t="s">
        <v>116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45">
      <c r="B8" s="2" t="s">
        <v>173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45">
      <c r="B9" s="2" t="s">
        <v>118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45">
      <c r="B10" s="2" t="s">
        <v>119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45">
      <c r="B11" s="2" t="s">
        <v>120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45">
      <c r="B12" s="2" t="s">
        <v>174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45">
      <c r="B13" s="2" t="s">
        <v>121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45">
      <c r="B14" s="2" t="s">
        <v>122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45">
      <c r="B15" s="2" t="s">
        <v>175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45">
      <c r="B16" s="2" t="s">
        <v>123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45">
      <c r="B17" s="2" t="s">
        <v>176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45">
      <c r="B18" s="2" t="s">
        <v>177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45">
      <c r="B19" s="2" t="s">
        <v>178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45">
      <c r="B20" s="2" t="s">
        <v>124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45">
      <c r="B21" s="2" t="s">
        <v>125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45">
      <c r="B22" s="2" t="s">
        <v>126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45">
      <c r="B23" s="2" t="s">
        <v>126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45">
      <c r="B24" s="2" t="s">
        <v>128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45">
      <c r="B25" s="2" t="s">
        <v>179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45">
      <c r="B26" s="2" t="s">
        <v>129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45">
      <c r="B27" s="2" t="s">
        <v>180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45">
      <c r="B28" s="2" t="s">
        <v>181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45">
      <c r="B29" s="2" t="s">
        <v>131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45">
      <c r="B30" s="2" t="s">
        <v>182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45">
      <c r="B31" s="2" t="s">
        <v>183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45">
      <c r="B32" s="2" t="s">
        <v>184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45">
      <c r="B33" s="2" t="s">
        <v>135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45">
      <c r="B34" s="2" t="s">
        <v>136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45">
      <c r="B35" s="2" t="s">
        <v>137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45">
      <c r="B36" s="2" t="s">
        <v>138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45">
      <c r="B37" s="2" t="s">
        <v>136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45">
      <c r="B38" s="2" t="s">
        <v>185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45">
      <c r="B39" s="2" t="s">
        <v>139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45">
      <c r="B40" s="2" t="s">
        <v>186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45">
      <c r="B41" s="2" t="s">
        <v>140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45">
      <c r="B42" s="2" t="s">
        <v>187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45">
      <c r="B43" s="2" t="s">
        <v>141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45">
      <c r="B44" s="2" t="s">
        <v>143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45">
      <c r="B45" s="2" t="s">
        <v>144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45">
      <c r="B46" s="2" t="s">
        <v>146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45">
      <c r="B47" s="2" t="s">
        <v>188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45">
      <c r="B48" s="2" t="s">
        <v>147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45">
      <c r="B49" s="2" t="s">
        <v>148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45">
      <c r="B50" s="2" t="s">
        <v>189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45">
      <c r="B51" s="2" t="s">
        <v>149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45">
      <c r="B52" s="2" t="s">
        <v>190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45">
      <c r="B53" s="2" t="s">
        <v>150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45">
      <c r="B54" s="2" t="s">
        <v>151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45">
      <c r="B55" s="2" t="s">
        <v>152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45">
      <c r="B56" s="2" t="s">
        <v>191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45">
      <c r="B57" s="2" t="s">
        <v>192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45">
      <c r="B58" s="2" t="s">
        <v>193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45">
      <c r="B59" s="2" t="s">
        <v>194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45">
      <c r="B60" s="2" t="s">
        <v>153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45">
      <c r="B61" s="2" t="s">
        <v>154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45">
      <c r="B62" s="2" t="s">
        <v>195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45">
      <c r="B63" s="2" t="s">
        <v>196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45">
      <c r="B64" s="2" t="s">
        <v>197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45">
      <c r="B65" s="2" t="s">
        <v>156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45">
      <c r="B66" s="2" t="s">
        <v>198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45">
      <c r="B67" s="2" t="s">
        <v>158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45">
      <c r="B68" s="2" t="s">
        <v>159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45">
      <c r="B69" s="2" t="s">
        <v>199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45">
      <c r="B70" s="2" t="s">
        <v>160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45">
      <c r="B71" s="2" t="s">
        <v>161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45">
      <c r="B72" s="2" t="s">
        <v>162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45">
      <c r="B73" s="2" t="s">
        <v>163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45">
      <c r="B74" s="2" t="s">
        <v>200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45">
      <c r="B75" s="2" t="s">
        <v>161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45">
      <c r="B76" s="2" t="s">
        <v>164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45">
      <c r="B77" s="2" t="s">
        <v>166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45">
      <c r="B78" s="2" t="s">
        <v>167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45">
      <c r="B79" s="2" t="s">
        <v>201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45">
      <c r="B80" s="2" t="s">
        <v>202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45">
      <c r="B81" s="2" t="s">
        <v>203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45">
      <c r="B82" s="2" t="s">
        <v>168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45">
      <c r="B83" s="2" t="s">
        <v>169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45">
      <c r="B84" s="2" t="s">
        <v>204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45">
      <c r="B85" s="2" t="s">
        <v>170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45">
      <c r="B86" s="2" t="s">
        <v>205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45">
      <c r="D87" s="6"/>
    </row>
    <row r="88" spans="2:7" x14ac:dyDescent="0.45">
      <c r="D88" s="6"/>
    </row>
    <row r="89" spans="2:7" x14ac:dyDescent="0.45">
      <c r="D89" s="6"/>
    </row>
    <row r="90" spans="2:7" x14ac:dyDescent="0.45">
      <c r="D90" s="6"/>
    </row>
    <row r="91" spans="2:7" x14ac:dyDescent="0.45">
      <c r="D91" s="6"/>
    </row>
    <row r="92" spans="2:7" x14ac:dyDescent="0.45">
      <c r="D92" s="6"/>
    </row>
    <row r="93" spans="2:7" x14ac:dyDescent="0.45">
      <c r="D93" s="6"/>
    </row>
    <row r="94" spans="2:7" x14ac:dyDescent="0.45">
      <c r="D94" s="6"/>
    </row>
    <row r="95" spans="2:7" x14ac:dyDescent="0.45">
      <c r="D95" s="6"/>
    </row>
    <row r="96" spans="2:7" x14ac:dyDescent="0.45">
      <c r="D96" s="6"/>
    </row>
    <row r="97" spans="4:4" x14ac:dyDescent="0.45">
      <c r="D97" s="6"/>
    </row>
    <row r="98" spans="4:4" x14ac:dyDescent="0.45">
      <c r="D98" s="6"/>
    </row>
    <row r="99" spans="4:4" x14ac:dyDescent="0.45">
      <c r="D99" s="6"/>
    </row>
    <row r="100" spans="4:4" x14ac:dyDescent="0.45">
      <c r="D100" s="6"/>
    </row>
    <row r="101" spans="4:4" x14ac:dyDescent="0.45">
      <c r="D101" s="6"/>
    </row>
    <row r="102" spans="4:4" x14ac:dyDescent="0.45">
      <c r="D102" s="6"/>
    </row>
    <row r="103" spans="4:4" x14ac:dyDescent="0.45">
      <c r="D103" s="6"/>
    </row>
    <row r="104" spans="4:4" x14ac:dyDescent="0.45">
      <c r="D104" s="6"/>
    </row>
    <row r="105" spans="4:4" x14ac:dyDescent="0.45">
      <c r="D105" s="6"/>
    </row>
    <row r="106" spans="4:4" x14ac:dyDescent="0.45">
      <c r="D106" s="6"/>
    </row>
    <row r="107" spans="4:4" x14ac:dyDescent="0.45">
      <c r="D107" s="6"/>
    </row>
    <row r="108" spans="4:4" x14ac:dyDescent="0.45">
      <c r="D108" s="6"/>
    </row>
    <row r="109" spans="4:4" x14ac:dyDescent="0.45">
      <c r="D109" s="6"/>
    </row>
    <row r="110" spans="4:4" x14ac:dyDescent="0.45">
      <c r="D110" s="6"/>
    </row>
    <row r="111" spans="4:4" x14ac:dyDescent="0.45">
      <c r="D111" s="6"/>
    </row>
    <row r="112" spans="4:4" x14ac:dyDescent="0.45">
      <c r="D112" s="6"/>
    </row>
    <row r="113" spans="4:4" x14ac:dyDescent="0.45">
      <c r="D113" s="6"/>
    </row>
    <row r="114" spans="4:4" x14ac:dyDescent="0.45">
      <c r="D114" s="6"/>
    </row>
    <row r="115" spans="4:4" x14ac:dyDescent="0.45">
      <c r="D115" s="6"/>
    </row>
    <row r="116" spans="4:4" x14ac:dyDescent="0.45">
      <c r="D116" s="6"/>
    </row>
    <row r="117" spans="4:4" x14ac:dyDescent="0.45">
      <c r="D117" s="6"/>
    </row>
    <row r="118" spans="4:4" x14ac:dyDescent="0.45">
      <c r="D118" s="6"/>
    </row>
    <row r="119" spans="4:4" x14ac:dyDescent="0.45">
      <c r="D119" s="6"/>
    </row>
    <row r="120" spans="4:4" x14ac:dyDescent="0.45">
      <c r="D120" s="6"/>
    </row>
    <row r="121" spans="4:4" x14ac:dyDescent="0.45">
      <c r="D121" s="6"/>
    </row>
    <row r="122" spans="4:4" x14ac:dyDescent="0.45">
      <c r="D122" s="6"/>
    </row>
    <row r="123" spans="4:4" x14ac:dyDescent="0.45">
      <c r="D123" s="6"/>
    </row>
    <row r="124" spans="4:4" x14ac:dyDescent="0.45">
      <c r="D124" s="6"/>
    </row>
    <row r="125" spans="4:4" x14ac:dyDescent="0.45">
      <c r="D125" s="6"/>
    </row>
    <row r="126" spans="4:4" x14ac:dyDescent="0.45">
      <c r="D126" s="6"/>
    </row>
    <row r="127" spans="4:4" x14ac:dyDescent="0.45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C6" sqref="C6"/>
    </sheetView>
  </sheetViews>
  <sheetFormatPr defaultColWidth="9.1328125" defaultRowHeight="14.25" x14ac:dyDescent="0.45"/>
  <cols>
    <col min="1" max="1" width="2" style="2" customWidth="1"/>
    <col min="2" max="2" width="9.1328125" style="2"/>
    <col min="3" max="3" width="29.53125" style="2" customWidth="1"/>
    <col min="4" max="4" width="22.1328125" style="2" customWidth="1"/>
    <col min="5" max="5" width="30.86328125" style="2" bestFit="1" customWidth="1"/>
    <col min="6" max="6" width="11.53125" style="2" bestFit="1" customWidth="1"/>
    <col min="7" max="7" width="12" style="2" bestFit="1" customWidth="1"/>
    <col min="8" max="8" width="9.1328125" style="1" customWidth="1"/>
    <col min="9" max="16384" width="9.1328125" style="2"/>
  </cols>
  <sheetData>
    <row r="1" spans="2:7" ht="15.4" x14ac:dyDescent="0.45">
      <c r="B1" s="3" t="s">
        <v>113</v>
      </c>
    </row>
    <row r="4" spans="2:7" x14ac:dyDescent="0.45">
      <c r="B4" s="2" t="s">
        <v>114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45">
      <c r="B5" s="2" t="s">
        <v>172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45">
      <c r="B6" s="2" t="s">
        <v>115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45">
      <c r="B7" s="2" t="s">
        <v>116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45">
      <c r="B8" s="2" t="s">
        <v>174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45">
      <c r="B9" s="2" t="s">
        <v>121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45">
      <c r="B10" s="2" t="s">
        <v>206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45">
      <c r="B11" s="2" t="s">
        <v>122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45">
      <c r="B12" s="2" t="s">
        <v>123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45">
      <c r="B13" s="2" t="s">
        <v>176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45">
      <c r="B14" s="2" t="s">
        <v>177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45">
      <c r="B15" s="2" t="s">
        <v>207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45">
      <c r="B16" s="2" t="s">
        <v>208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45">
      <c r="B17" s="2" t="s">
        <v>209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45">
      <c r="B18" s="2" t="s">
        <v>124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45">
      <c r="B19" s="2" t="s">
        <v>125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45">
      <c r="B20" s="2" t="s">
        <v>126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45">
      <c r="B21" s="2" t="s">
        <v>126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45">
      <c r="B22" s="2" t="s">
        <v>128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45">
      <c r="B23" s="2" t="s">
        <v>129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45">
      <c r="B24" s="2" t="s">
        <v>180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45">
      <c r="B25" s="2" t="s">
        <v>210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45">
      <c r="B26" s="2" t="s">
        <v>211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45">
      <c r="B27" s="2" t="s">
        <v>131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45">
      <c r="B28" s="2" t="s">
        <v>182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45">
      <c r="B29" s="2" t="s">
        <v>183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45">
      <c r="B30" s="2" t="s">
        <v>184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45">
      <c r="B31" s="2" t="s">
        <v>135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45">
      <c r="B32" s="2" t="s">
        <v>136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45">
      <c r="B33" s="2" t="s">
        <v>137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45">
      <c r="B34" s="2" t="s">
        <v>138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45">
      <c r="B35" s="2" t="s">
        <v>212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45">
      <c r="B36" s="2" t="s">
        <v>136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45">
      <c r="B37" s="2" t="s">
        <v>185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45">
      <c r="B38" s="2" t="s">
        <v>139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45">
      <c r="B39" s="2" t="s">
        <v>213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45">
      <c r="B40" s="2" t="s">
        <v>214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45">
      <c r="B41" s="2" t="s">
        <v>140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45">
      <c r="B42" s="2" t="s">
        <v>141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45">
      <c r="B43" s="2" t="s">
        <v>143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45">
      <c r="B44" s="2" t="s">
        <v>215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45">
      <c r="B45" s="2" t="s">
        <v>144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45">
      <c r="B46" s="2" t="s">
        <v>188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45">
      <c r="B47" s="2" t="s">
        <v>147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45">
      <c r="B48" s="2" t="s">
        <v>148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45">
      <c r="B49" s="2" t="s">
        <v>216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45">
      <c r="B50" s="2" t="s">
        <v>149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45">
      <c r="B51" s="2" t="s">
        <v>217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45">
      <c r="B52" s="2" t="s">
        <v>150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45">
      <c r="B53" s="2" t="s">
        <v>151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45">
      <c r="B54" s="2" t="s">
        <v>152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45">
      <c r="B55" s="2" t="s">
        <v>153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45">
      <c r="B56" s="2" t="s">
        <v>154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45">
      <c r="B57" s="2" t="s">
        <v>197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45">
      <c r="B58" s="2" t="s">
        <v>155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45">
      <c r="B59" s="2" t="s">
        <v>156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45">
      <c r="B60" s="2" t="s">
        <v>198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45">
      <c r="B61" s="2" t="s">
        <v>158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45">
      <c r="B62" s="2" t="s">
        <v>199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45">
      <c r="B63" s="2" t="s">
        <v>160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45">
      <c r="B64" s="2" t="s">
        <v>161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45">
      <c r="B65" s="2" t="s">
        <v>162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45">
      <c r="B66" s="2" t="s">
        <v>163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45">
      <c r="B67" s="2" t="s">
        <v>200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45">
      <c r="B68" s="2" t="s">
        <v>164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45">
      <c r="B69" s="2" t="s">
        <v>166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45">
      <c r="B70" s="2" t="s">
        <v>167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45">
      <c r="B71" s="2" t="s">
        <v>201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45">
      <c r="B72" s="2" t="s">
        <v>202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45">
      <c r="B73" s="2" t="s">
        <v>218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45">
      <c r="B74" s="2" t="s">
        <v>168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45">
      <c r="B75" s="2" t="s">
        <v>169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45">
      <c r="B76" s="2" t="s">
        <v>170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45">
      <c r="B77" s="2" t="s">
        <v>219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45">
      <c r="B78" s="2" t="s">
        <v>205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45">
      <c r="D79" s="6"/>
    </row>
    <row r="80" spans="2:7" x14ac:dyDescent="0.45">
      <c r="D80" s="6"/>
    </row>
    <row r="81" spans="4:4" x14ac:dyDescent="0.45">
      <c r="D81" s="6"/>
    </row>
    <row r="82" spans="4:4" x14ac:dyDescent="0.45">
      <c r="D82" s="6"/>
    </row>
    <row r="83" spans="4:4" x14ac:dyDescent="0.45">
      <c r="D83" s="6"/>
    </row>
    <row r="84" spans="4:4" x14ac:dyDescent="0.45">
      <c r="D84" s="6"/>
    </row>
    <row r="85" spans="4:4" x14ac:dyDescent="0.45">
      <c r="D85" s="6"/>
    </row>
    <row r="86" spans="4:4" x14ac:dyDescent="0.45">
      <c r="D86" s="6"/>
    </row>
    <row r="87" spans="4:4" x14ac:dyDescent="0.45">
      <c r="D87" s="6"/>
    </row>
    <row r="88" spans="4:4" x14ac:dyDescent="0.45">
      <c r="D88" s="6"/>
    </row>
    <row r="89" spans="4:4" x14ac:dyDescent="0.45">
      <c r="D89" s="6"/>
    </row>
    <row r="90" spans="4:4" x14ac:dyDescent="0.45">
      <c r="D90" s="6"/>
    </row>
    <row r="91" spans="4:4" x14ac:dyDescent="0.45">
      <c r="D91" s="6"/>
    </row>
    <row r="92" spans="4:4" x14ac:dyDescent="0.45">
      <c r="D92" s="6"/>
    </row>
    <row r="93" spans="4:4" x14ac:dyDescent="0.45">
      <c r="D93" s="6"/>
    </row>
    <row r="94" spans="4:4" x14ac:dyDescent="0.45">
      <c r="D94" s="6"/>
    </row>
    <row r="95" spans="4:4" x14ac:dyDescent="0.45">
      <c r="D95" s="6"/>
    </row>
    <row r="96" spans="4:4" x14ac:dyDescent="0.45">
      <c r="D96" s="6"/>
    </row>
    <row r="97" spans="4:4" x14ac:dyDescent="0.45">
      <c r="D97" s="6"/>
    </row>
    <row r="98" spans="4:4" x14ac:dyDescent="0.45">
      <c r="D98" s="6"/>
    </row>
    <row r="99" spans="4:4" x14ac:dyDescent="0.45">
      <c r="D99" s="6"/>
    </row>
    <row r="100" spans="4:4" x14ac:dyDescent="0.45">
      <c r="D100" s="6"/>
    </row>
    <row r="101" spans="4:4" x14ac:dyDescent="0.45">
      <c r="D101" s="6"/>
    </row>
    <row r="102" spans="4:4" x14ac:dyDescent="0.45">
      <c r="D102" s="6"/>
    </row>
    <row r="103" spans="4:4" x14ac:dyDescent="0.45">
      <c r="D103" s="6"/>
    </row>
    <row r="104" spans="4:4" x14ac:dyDescent="0.45">
      <c r="D104" s="6"/>
    </row>
    <row r="105" spans="4:4" x14ac:dyDescent="0.45">
      <c r="D105" s="6"/>
    </row>
    <row r="106" spans="4:4" x14ac:dyDescent="0.45">
      <c r="D106" s="6"/>
    </row>
    <row r="107" spans="4:4" x14ac:dyDescent="0.45">
      <c r="D107" s="6"/>
    </row>
    <row r="108" spans="4:4" x14ac:dyDescent="0.45">
      <c r="D108" s="6"/>
    </row>
    <row r="109" spans="4:4" x14ac:dyDescent="0.45">
      <c r="D109" s="6"/>
    </row>
    <row r="110" spans="4:4" x14ac:dyDescent="0.45">
      <c r="D110" s="6"/>
    </row>
    <row r="111" spans="4:4" x14ac:dyDescent="0.45">
      <c r="D111" s="6"/>
    </row>
    <row r="112" spans="4:4" x14ac:dyDescent="0.45">
      <c r="D112" s="6"/>
    </row>
    <row r="113" spans="4:4" x14ac:dyDescent="0.45">
      <c r="D113" s="6"/>
    </row>
    <row r="114" spans="4:4" x14ac:dyDescent="0.45">
      <c r="D114" s="6"/>
    </row>
    <row r="115" spans="4:4" x14ac:dyDescent="0.45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workbookViewId="0">
      <selection activeCell="J5" sqref="J5"/>
    </sheetView>
  </sheetViews>
  <sheetFormatPr defaultColWidth="9.1328125" defaultRowHeight="11.65" x14ac:dyDescent="0.35"/>
  <cols>
    <col min="1" max="1" width="2" style="2" customWidth="1"/>
    <col min="2" max="2" width="16.33203125" style="2" customWidth="1"/>
    <col min="3" max="3" width="33.33203125" style="2" customWidth="1"/>
    <col min="4" max="4" width="14.1328125" style="2" bestFit="1" customWidth="1"/>
    <col min="5" max="5" width="21.1328125" style="2" customWidth="1"/>
    <col min="6" max="8" width="10.19921875" style="2" bestFit="1" customWidth="1"/>
    <col min="9" max="9" width="2" style="2" customWidth="1"/>
    <col min="10" max="16384" width="9.1328125" style="2"/>
  </cols>
  <sheetData>
    <row r="1" spans="2:10" ht="15" x14ac:dyDescent="0.4">
      <c r="B1" s="3" t="s">
        <v>56</v>
      </c>
    </row>
    <row r="3" spans="2:10" ht="12" thickBot="1" x14ac:dyDescent="0.4">
      <c r="B3" s="30" t="s">
        <v>114</v>
      </c>
      <c r="C3" s="30" t="s">
        <v>99</v>
      </c>
      <c r="D3" s="30" t="s">
        <v>31</v>
      </c>
      <c r="E3" s="30" t="s">
        <v>100</v>
      </c>
      <c r="F3" s="31" t="s">
        <v>220</v>
      </c>
      <c r="G3" s="31" t="s">
        <v>221</v>
      </c>
      <c r="H3" s="31" t="s">
        <v>222</v>
      </c>
      <c r="J3" s="32" t="s">
        <v>224</v>
      </c>
    </row>
    <row r="4" spans="2:10" x14ac:dyDescent="0.35">
      <c r="B4" s="2" t="s">
        <v>115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225</v>
      </c>
    </row>
    <row r="5" spans="2:10" x14ac:dyDescent="0.35">
      <c r="B5" s="2" t="s">
        <v>116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35">
      <c r="B6" s="2" t="s">
        <v>117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35">
      <c r="B7" s="2" t="s">
        <v>118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35">
      <c r="B8" s="2" t="s">
        <v>119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35">
      <c r="B9" s="2" t="s">
        <v>120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35">
      <c r="B10" s="2" t="s">
        <v>121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35">
      <c r="B11" s="2" t="s">
        <v>122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226</v>
      </c>
    </row>
    <row r="12" spans="2:10" x14ac:dyDescent="0.35">
      <c r="B12" s="2" t="s">
        <v>123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226</v>
      </c>
    </row>
    <row r="13" spans="2:10" x14ac:dyDescent="0.35">
      <c r="B13" s="2" t="s">
        <v>124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226</v>
      </c>
    </row>
    <row r="14" spans="2:10" x14ac:dyDescent="0.35">
      <c r="B14" s="2" t="s">
        <v>125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227</v>
      </c>
    </row>
    <row r="15" spans="2:10" x14ac:dyDescent="0.35">
      <c r="B15" s="2" t="s">
        <v>126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227</v>
      </c>
    </row>
    <row r="16" spans="2:10" x14ac:dyDescent="0.35">
      <c r="B16" s="2" t="s">
        <v>127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227</v>
      </c>
    </row>
    <row r="17" spans="2:10" x14ac:dyDescent="0.35">
      <c r="B17" s="2" t="s">
        <v>128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227</v>
      </c>
    </row>
    <row r="18" spans="2:10" x14ac:dyDescent="0.35">
      <c r="B18" s="2" t="s">
        <v>129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35">
      <c r="B19" s="2" t="s">
        <v>130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35">
      <c r="B20" s="2" t="s">
        <v>131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228</v>
      </c>
    </row>
    <row r="21" spans="2:10" x14ac:dyDescent="0.35">
      <c r="B21" s="2" t="s">
        <v>132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228</v>
      </c>
    </row>
    <row r="22" spans="2:10" x14ac:dyDescent="0.35">
      <c r="B22" s="2" t="s">
        <v>133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228</v>
      </c>
    </row>
    <row r="23" spans="2:10" x14ac:dyDescent="0.35">
      <c r="B23" s="2" t="s">
        <v>134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228</v>
      </c>
    </row>
    <row r="24" spans="2:10" x14ac:dyDescent="0.35">
      <c r="B24" s="2" t="s">
        <v>135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228</v>
      </c>
    </row>
    <row r="25" spans="2:10" x14ac:dyDescent="0.35">
      <c r="B25" s="2" t="s">
        <v>136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228</v>
      </c>
    </row>
    <row r="26" spans="2:10" x14ac:dyDescent="0.35">
      <c r="B26" s="2" t="s">
        <v>137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228</v>
      </c>
    </row>
    <row r="27" spans="2:10" x14ac:dyDescent="0.35">
      <c r="B27" s="2" t="s">
        <v>138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228</v>
      </c>
    </row>
    <row r="28" spans="2:10" x14ac:dyDescent="0.35">
      <c r="B28" s="2" t="s">
        <v>139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228</v>
      </c>
    </row>
    <row r="29" spans="2:10" x14ac:dyDescent="0.35">
      <c r="B29" s="2" t="s">
        <v>140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35">
      <c r="B30" s="2" t="s">
        <v>141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226</v>
      </c>
    </row>
    <row r="31" spans="2:10" x14ac:dyDescent="0.35">
      <c r="B31" s="2" t="s">
        <v>142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226</v>
      </c>
    </row>
    <row r="32" spans="2:10" x14ac:dyDescent="0.35">
      <c r="B32" s="2" t="s">
        <v>143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226</v>
      </c>
    </row>
    <row r="33" spans="2:10" x14ac:dyDescent="0.35">
      <c r="B33" s="2" t="s">
        <v>144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229</v>
      </c>
    </row>
    <row r="34" spans="2:10" x14ac:dyDescent="0.35">
      <c r="B34" s="2" t="s">
        <v>145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230</v>
      </c>
    </row>
    <row r="35" spans="2:10" x14ac:dyDescent="0.35">
      <c r="B35" s="2" t="s">
        <v>146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230</v>
      </c>
    </row>
    <row r="36" spans="2:10" x14ac:dyDescent="0.35">
      <c r="B36" s="2" t="s">
        <v>147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230</v>
      </c>
    </row>
    <row r="37" spans="2:10" x14ac:dyDescent="0.35">
      <c r="B37" s="2" t="s">
        <v>148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226</v>
      </c>
    </row>
    <row r="38" spans="2:10" x14ac:dyDescent="0.35">
      <c r="B38" s="2" t="s">
        <v>149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226</v>
      </c>
    </row>
    <row r="39" spans="2:10" x14ac:dyDescent="0.35">
      <c r="B39" s="2" t="s">
        <v>150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231</v>
      </c>
    </row>
    <row r="40" spans="2:10" x14ac:dyDescent="0.35">
      <c r="B40" s="2" t="s">
        <v>151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226</v>
      </c>
    </row>
    <row r="41" spans="2:10" x14ac:dyDescent="0.35">
      <c r="B41" s="2" t="s">
        <v>152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226</v>
      </c>
    </row>
    <row r="42" spans="2:10" x14ac:dyDescent="0.35">
      <c r="B42" s="2" t="s">
        <v>153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226</v>
      </c>
    </row>
    <row r="43" spans="2:10" x14ac:dyDescent="0.35">
      <c r="B43" s="2" t="s">
        <v>154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226</v>
      </c>
    </row>
    <row r="44" spans="2:10" x14ac:dyDescent="0.35">
      <c r="B44" s="2" t="s">
        <v>155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226</v>
      </c>
    </row>
    <row r="45" spans="2:10" x14ac:dyDescent="0.35">
      <c r="B45" s="2" t="s">
        <v>156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226</v>
      </c>
    </row>
    <row r="46" spans="2:10" x14ac:dyDescent="0.35">
      <c r="B46" s="2" t="s">
        <v>157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35">
      <c r="B47" s="2" t="s">
        <v>158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35">
      <c r="B48" s="2" t="s">
        <v>159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35">
      <c r="B49" s="2" t="s">
        <v>160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232</v>
      </c>
    </row>
    <row r="50" spans="2:10" x14ac:dyDescent="0.35">
      <c r="B50" s="2" t="s">
        <v>161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232</v>
      </c>
    </row>
    <row r="51" spans="2:10" x14ac:dyDescent="0.35">
      <c r="B51" s="2" t="s">
        <v>162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232</v>
      </c>
    </row>
    <row r="52" spans="2:10" x14ac:dyDescent="0.35">
      <c r="B52" s="2" t="s">
        <v>163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232</v>
      </c>
    </row>
    <row r="53" spans="2:10" x14ac:dyDescent="0.35">
      <c r="B53" s="2" t="s">
        <v>164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232</v>
      </c>
    </row>
    <row r="54" spans="2:10" x14ac:dyDescent="0.35">
      <c r="B54" s="2" t="s">
        <v>165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35">
      <c r="B55" s="2" t="s">
        <v>166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233</v>
      </c>
    </row>
    <row r="56" spans="2:10" x14ac:dyDescent="0.35">
      <c r="B56" s="2" t="s">
        <v>167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232</v>
      </c>
    </row>
    <row r="57" spans="2:10" x14ac:dyDescent="0.35">
      <c r="B57" s="2" t="s">
        <v>168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234</v>
      </c>
    </row>
    <row r="58" spans="2:10" x14ac:dyDescent="0.35">
      <c r="B58" s="2" t="s">
        <v>169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234</v>
      </c>
    </row>
    <row r="59" spans="2:10" x14ac:dyDescent="0.35">
      <c r="B59" s="2" t="s">
        <v>170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234</v>
      </c>
    </row>
    <row r="60" spans="2:10" x14ac:dyDescent="0.35">
      <c r="B60" s="2" t="s">
        <v>171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235</v>
      </c>
    </row>
    <row r="61" spans="2:10" x14ac:dyDescent="0.35">
      <c r="B61" s="2" t="s">
        <v>172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236</v>
      </c>
    </row>
    <row r="62" spans="2:10" x14ac:dyDescent="0.35">
      <c r="B62" s="2" t="s">
        <v>173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35">
      <c r="B63" s="2" t="s">
        <v>174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226</v>
      </c>
    </row>
    <row r="64" spans="2:10" x14ac:dyDescent="0.35">
      <c r="B64" s="2" t="s">
        <v>175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226</v>
      </c>
    </row>
    <row r="65" spans="2:10" x14ac:dyDescent="0.35">
      <c r="B65" s="2" t="s">
        <v>176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226</v>
      </c>
    </row>
    <row r="66" spans="2:10" x14ac:dyDescent="0.35">
      <c r="B66" s="2" t="s">
        <v>177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226</v>
      </c>
    </row>
    <row r="67" spans="2:10" x14ac:dyDescent="0.35">
      <c r="B67" s="2" t="s">
        <v>178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226</v>
      </c>
    </row>
    <row r="68" spans="2:10" x14ac:dyDescent="0.35">
      <c r="B68" s="2" t="s">
        <v>179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227</v>
      </c>
    </row>
    <row r="69" spans="2:10" x14ac:dyDescent="0.35">
      <c r="B69" s="2" t="s">
        <v>180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35">
      <c r="B70" s="2" t="s">
        <v>181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233</v>
      </c>
    </row>
    <row r="71" spans="2:10" x14ac:dyDescent="0.35">
      <c r="B71" s="2" t="s">
        <v>182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228</v>
      </c>
    </row>
    <row r="72" spans="2:10" x14ac:dyDescent="0.35">
      <c r="B72" s="2" t="s">
        <v>183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228</v>
      </c>
    </row>
    <row r="73" spans="2:10" x14ac:dyDescent="0.35">
      <c r="B73" s="2" t="s">
        <v>184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228</v>
      </c>
    </row>
    <row r="74" spans="2:10" x14ac:dyDescent="0.35">
      <c r="B74" s="2" t="s">
        <v>185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228</v>
      </c>
    </row>
    <row r="75" spans="2:10" x14ac:dyDescent="0.35">
      <c r="B75" s="2" t="s">
        <v>186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35">
      <c r="B76" s="2" t="s">
        <v>187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226</v>
      </c>
    </row>
    <row r="77" spans="2:10" x14ac:dyDescent="0.35">
      <c r="B77" s="2" t="s">
        <v>188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230</v>
      </c>
    </row>
    <row r="78" spans="2:10" x14ac:dyDescent="0.35">
      <c r="B78" s="2" t="s">
        <v>189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35">
      <c r="B79" s="2" t="s">
        <v>190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226</v>
      </c>
    </row>
    <row r="80" spans="2:10" x14ac:dyDescent="0.35">
      <c r="B80" s="2" t="s">
        <v>191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233</v>
      </c>
    </row>
    <row r="81" spans="2:10" x14ac:dyDescent="0.35">
      <c r="B81" s="2" t="s">
        <v>192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226</v>
      </c>
    </row>
    <row r="82" spans="2:10" x14ac:dyDescent="0.35">
      <c r="B82" s="2" t="s">
        <v>193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226</v>
      </c>
    </row>
    <row r="83" spans="2:10" x14ac:dyDescent="0.35">
      <c r="B83" s="2" t="s">
        <v>194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226</v>
      </c>
    </row>
    <row r="84" spans="2:10" x14ac:dyDescent="0.35">
      <c r="B84" s="2" t="s">
        <v>195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233</v>
      </c>
    </row>
    <row r="85" spans="2:10" x14ac:dyDescent="0.35">
      <c r="B85" s="2" t="s">
        <v>196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233</v>
      </c>
    </row>
    <row r="86" spans="2:10" x14ac:dyDescent="0.35">
      <c r="B86" s="2" t="s">
        <v>197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233</v>
      </c>
    </row>
    <row r="87" spans="2:10" x14ac:dyDescent="0.35">
      <c r="B87" s="2" t="s">
        <v>198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35">
      <c r="B88" s="2" t="s">
        <v>199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232</v>
      </c>
    </row>
    <row r="89" spans="2:10" x14ac:dyDescent="0.35">
      <c r="B89" s="2" t="s">
        <v>200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232</v>
      </c>
    </row>
    <row r="90" spans="2:10" x14ac:dyDescent="0.35">
      <c r="B90" s="2" t="s">
        <v>201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232</v>
      </c>
    </row>
    <row r="91" spans="2:10" x14ac:dyDescent="0.35">
      <c r="B91" s="2" t="s">
        <v>202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232</v>
      </c>
    </row>
    <row r="92" spans="2:10" x14ac:dyDescent="0.35">
      <c r="B92" s="2" t="s">
        <v>203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233</v>
      </c>
    </row>
    <row r="93" spans="2:10" x14ac:dyDescent="0.35">
      <c r="B93" s="2" t="s">
        <v>204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35">
      <c r="B94" s="2" t="s">
        <v>205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235</v>
      </c>
    </row>
    <row r="95" spans="2:10" x14ac:dyDescent="0.35">
      <c r="B95" s="2" t="s">
        <v>206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226</v>
      </c>
    </row>
    <row r="96" spans="2:10" x14ac:dyDescent="0.35">
      <c r="B96" s="2" t="s">
        <v>207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226</v>
      </c>
    </row>
    <row r="97" spans="2:10" x14ac:dyDescent="0.35">
      <c r="B97" s="2" t="s">
        <v>208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226</v>
      </c>
    </row>
    <row r="98" spans="2:10" x14ac:dyDescent="0.35">
      <c r="B98" s="2" t="s">
        <v>209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226</v>
      </c>
    </row>
    <row r="99" spans="2:10" x14ac:dyDescent="0.35">
      <c r="B99" s="2" t="s">
        <v>210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226</v>
      </c>
    </row>
    <row r="100" spans="2:10" x14ac:dyDescent="0.35">
      <c r="B100" s="2" t="s">
        <v>211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226</v>
      </c>
    </row>
    <row r="101" spans="2:10" x14ac:dyDescent="0.35">
      <c r="B101" s="2" t="s">
        <v>212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228</v>
      </c>
    </row>
    <row r="102" spans="2:10" x14ac:dyDescent="0.35">
      <c r="B102" s="2" t="s">
        <v>213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226</v>
      </c>
    </row>
    <row r="103" spans="2:10" x14ac:dyDescent="0.35">
      <c r="B103" s="2" t="s">
        <v>214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35">
      <c r="B104" s="2" t="s">
        <v>215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229</v>
      </c>
    </row>
    <row r="105" spans="2:10" x14ac:dyDescent="0.35">
      <c r="B105" s="2" t="s">
        <v>216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226</v>
      </c>
    </row>
    <row r="106" spans="2:10" x14ac:dyDescent="0.35">
      <c r="B106" s="2" t="s">
        <v>217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226</v>
      </c>
    </row>
    <row r="107" spans="2:10" x14ac:dyDescent="0.35">
      <c r="B107" s="2" t="s">
        <v>218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35">
      <c r="B108" s="2" t="s">
        <v>219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25" x14ac:dyDescent="0.45">
      <c r="B109"/>
      <c r="C109" s="2" t="s">
        <v>223</v>
      </c>
      <c r="D109" s="2" t="s">
        <v>223</v>
      </c>
      <c r="E109" s="2" t="s">
        <v>223</v>
      </c>
      <c r="F109" s="2" t="s">
        <v>223</v>
      </c>
      <c r="G109" s="2" t="s">
        <v>223</v>
      </c>
      <c r="H109" s="2" t="s">
        <v>223</v>
      </c>
      <c r="J109" s="2" t="s">
        <v>223</v>
      </c>
    </row>
    <row r="110" spans="2:10" ht="14.25" x14ac:dyDescent="0.45">
      <c r="B110"/>
    </row>
    <row r="111" spans="2:10" ht="14.25" x14ac:dyDescent="0.45">
      <c r="B111"/>
    </row>
    <row r="112" spans="2:10" ht="14.25" x14ac:dyDescent="0.45">
      <c r="B112"/>
    </row>
    <row r="113" spans="2:2" ht="14.25" x14ac:dyDescent="0.45">
      <c r="B113"/>
    </row>
    <row r="114" spans="2:2" ht="14.25" x14ac:dyDescent="0.45">
      <c r="B114"/>
    </row>
    <row r="115" spans="2:2" ht="14.25" x14ac:dyDescent="0.45">
      <c r="B115"/>
    </row>
    <row r="116" spans="2:2" ht="14.25" x14ac:dyDescent="0.45">
      <c r="B116"/>
    </row>
    <row r="117" spans="2:2" ht="14.25" x14ac:dyDescent="0.45">
      <c r="B117"/>
    </row>
    <row r="118" spans="2:2" ht="14.25" x14ac:dyDescent="0.45">
      <c r="B118"/>
    </row>
    <row r="119" spans="2:2" ht="14.25" x14ac:dyDescent="0.45">
      <c r="B119"/>
    </row>
    <row r="120" spans="2:2" ht="14.25" x14ac:dyDescent="0.45">
      <c r="B120"/>
    </row>
    <row r="121" spans="2:2" ht="14.25" x14ac:dyDescent="0.45">
      <c r="B121"/>
    </row>
    <row r="122" spans="2:2" ht="14.25" x14ac:dyDescent="0.45">
      <c r="B122"/>
    </row>
    <row r="123" spans="2:2" ht="14.25" x14ac:dyDescent="0.45">
      <c r="B123"/>
    </row>
    <row r="124" spans="2:2" ht="14.25" x14ac:dyDescent="0.45">
      <c r="B124"/>
    </row>
    <row r="125" spans="2:2" ht="14.25" x14ac:dyDescent="0.45">
      <c r="B125"/>
    </row>
    <row r="126" spans="2:2" ht="14.25" x14ac:dyDescent="0.45">
      <c r="B126"/>
    </row>
    <row r="127" spans="2:2" ht="14.25" x14ac:dyDescent="0.45">
      <c r="B127"/>
    </row>
    <row r="128" spans="2:2" ht="14.25" x14ac:dyDescent="0.45">
      <c r="B128"/>
    </row>
    <row r="129" spans="2:2" ht="14.25" x14ac:dyDescent="0.45">
      <c r="B129"/>
    </row>
    <row r="130" spans="2:2" ht="14.25" x14ac:dyDescent="0.45">
      <c r="B130"/>
    </row>
    <row r="131" spans="2:2" ht="14.25" x14ac:dyDescent="0.45">
      <c r="B131"/>
    </row>
    <row r="132" spans="2:2" ht="14.25" x14ac:dyDescent="0.45">
      <c r="B132"/>
    </row>
    <row r="133" spans="2:2" ht="14.25" x14ac:dyDescent="0.45">
      <c r="B133"/>
    </row>
    <row r="134" spans="2:2" ht="14.25" x14ac:dyDescent="0.45">
      <c r="B134"/>
    </row>
    <row r="135" spans="2:2" ht="14.25" x14ac:dyDescent="0.45">
      <c r="B135"/>
    </row>
    <row r="136" spans="2:2" ht="14.25" x14ac:dyDescent="0.45">
      <c r="B136"/>
    </row>
    <row r="137" spans="2:2" ht="14.25" x14ac:dyDescent="0.45">
      <c r="B137"/>
    </row>
    <row r="138" spans="2:2" ht="14.25" x14ac:dyDescent="0.45">
      <c r="B138"/>
    </row>
    <row r="139" spans="2:2" ht="14.25" x14ac:dyDescent="0.45">
      <c r="B139"/>
    </row>
    <row r="140" spans="2:2" ht="14.25" x14ac:dyDescent="0.45">
      <c r="B140"/>
    </row>
    <row r="141" spans="2:2" ht="14.25" x14ac:dyDescent="0.45">
      <c r="B141"/>
    </row>
    <row r="142" spans="2:2" ht="14.25" x14ac:dyDescent="0.45">
      <c r="B142"/>
    </row>
    <row r="143" spans="2:2" ht="14.25" x14ac:dyDescent="0.45">
      <c r="B143"/>
    </row>
    <row r="144" spans="2:2" ht="14.25" x14ac:dyDescent="0.45">
      <c r="B144"/>
    </row>
    <row r="145" spans="2:2" ht="14.25" x14ac:dyDescent="0.45">
      <c r="B145"/>
    </row>
    <row r="146" spans="2:2" ht="14.25" x14ac:dyDescent="0.45">
      <c r="B146"/>
    </row>
    <row r="147" spans="2:2" ht="14.25" x14ac:dyDescent="0.45">
      <c r="B147"/>
    </row>
    <row r="148" spans="2:2" ht="14.25" x14ac:dyDescent="0.45">
      <c r="B148"/>
    </row>
    <row r="149" spans="2:2" ht="14.25" x14ac:dyDescent="0.45">
      <c r="B149"/>
    </row>
    <row r="150" spans="2:2" ht="14.25" x14ac:dyDescent="0.45">
      <c r="B150"/>
    </row>
    <row r="151" spans="2:2" ht="14.25" x14ac:dyDescent="0.45">
      <c r="B151"/>
    </row>
    <row r="152" spans="2:2" ht="14.25" x14ac:dyDescent="0.45">
      <c r="B152"/>
    </row>
    <row r="153" spans="2:2" ht="14.25" x14ac:dyDescent="0.45">
      <c r="B153"/>
    </row>
    <row r="154" spans="2:2" ht="14.25" x14ac:dyDescent="0.45">
      <c r="B154"/>
    </row>
    <row r="155" spans="2:2" ht="14.25" x14ac:dyDescent="0.45">
      <c r="B155"/>
    </row>
    <row r="156" spans="2:2" ht="14.25" x14ac:dyDescent="0.45">
      <c r="B156"/>
    </row>
    <row r="157" spans="2:2" ht="14.25" x14ac:dyDescent="0.45">
      <c r="B157"/>
    </row>
    <row r="158" spans="2:2" ht="14.25" x14ac:dyDescent="0.45">
      <c r="B158"/>
    </row>
    <row r="159" spans="2:2" ht="14.25" x14ac:dyDescent="0.45">
      <c r="B159"/>
    </row>
    <row r="160" spans="2:2" ht="14.25" x14ac:dyDescent="0.45">
      <c r="B160"/>
    </row>
    <row r="161" spans="2:2" ht="14.25" x14ac:dyDescent="0.45">
      <c r="B161"/>
    </row>
    <row r="162" spans="2:2" ht="14.25" x14ac:dyDescent="0.45">
      <c r="B162"/>
    </row>
    <row r="163" spans="2:2" ht="14.25" x14ac:dyDescent="0.45">
      <c r="B163"/>
    </row>
    <row r="164" spans="2:2" ht="14.25" x14ac:dyDescent="0.45">
      <c r="B164"/>
    </row>
    <row r="165" spans="2:2" ht="14.25" x14ac:dyDescent="0.45">
      <c r="B165"/>
    </row>
    <row r="166" spans="2:2" ht="14.25" x14ac:dyDescent="0.45">
      <c r="B166"/>
    </row>
    <row r="167" spans="2:2" ht="14.25" x14ac:dyDescent="0.45">
      <c r="B167"/>
    </row>
    <row r="168" spans="2:2" ht="14.25" x14ac:dyDescent="0.45">
      <c r="B168"/>
    </row>
    <row r="169" spans="2:2" ht="14.25" x14ac:dyDescent="0.45">
      <c r="B169"/>
    </row>
    <row r="170" spans="2:2" ht="14.25" x14ac:dyDescent="0.45">
      <c r="B170"/>
    </row>
    <row r="171" spans="2:2" ht="14.25" x14ac:dyDescent="0.45">
      <c r="B171"/>
    </row>
    <row r="172" spans="2:2" ht="14.25" x14ac:dyDescent="0.45">
      <c r="B172"/>
    </row>
    <row r="173" spans="2:2" ht="14.25" x14ac:dyDescent="0.45">
      <c r="B173"/>
    </row>
    <row r="174" spans="2:2" ht="14.25" x14ac:dyDescent="0.45">
      <c r="B174"/>
    </row>
    <row r="175" spans="2:2" ht="14.25" x14ac:dyDescent="0.45">
      <c r="B175"/>
    </row>
    <row r="176" spans="2:2" ht="14.25" x14ac:dyDescent="0.45">
      <c r="B176"/>
    </row>
    <row r="177" spans="2:2" ht="14.25" x14ac:dyDescent="0.45">
      <c r="B177"/>
    </row>
    <row r="178" spans="2:2" ht="14.25" x14ac:dyDescent="0.45">
      <c r="B178"/>
    </row>
    <row r="179" spans="2:2" ht="14.25" x14ac:dyDescent="0.45">
      <c r="B179"/>
    </row>
    <row r="180" spans="2:2" ht="14.25" x14ac:dyDescent="0.45">
      <c r="B180"/>
    </row>
    <row r="181" spans="2:2" ht="14.25" x14ac:dyDescent="0.45">
      <c r="B181"/>
    </row>
    <row r="182" spans="2:2" ht="14.25" x14ac:dyDescent="0.45">
      <c r="B182"/>
    </row>
    <row r="183" spans="2:2" ht="14.25" x14ac:dyDescent="0.45">
      <c r="B183"/>
    </row>
    <row r="184" spans="2:2" ht="14.25" x14ac:dyDescent="0.45">
      <c r="B184"/>
    </row>
    <row r="185" spans="2:2" ht="14.25" x14ac:dyDescent="0.45">
      <c r="B185"/>
    </row>
    <row r="186" spans="2:2" ht="14.25" x14ac:dyDescent="0.45">
      <c r="B186"/>
    </row>
    <row r="187" spans="2:2" ht="14.25" x14ac:dyDescent="0.45">
      <c r="B187"/>
    </row>
    <row r="188" spans="2:2" ht="14.25" x14ac:dyDescent="0.45">
      <c r="B188"/>
    </row>
    <row r="189" spans="2:2" ht="14.25" x14ac:dyDescent="0.45">
      <c r="B189"/>
    </row>
    <row r="190" spans="2:2" ht="14.25" x14ac:dyDescent="0.45">
      <c r="B190"/>
    </row>
    <row r="191" spans="2:2" ht="14.25" x14ac:dyDescent="0.45">
      <c r="B191"/>
    </row>
    <row r="192" spans="2:2" ht="14.25" x14ac:dyDescent="0.45">
      <c r="B192"/>
    </row>
    <row r="193" spans="2:2" ht="14.25" x14ac:dyDescent="0.45">
      <c r="B193"/>
    </row>
    <row r="194" spans="2:2" ht="14.25" x14ac:dyDescent="0.45">
      <c r="B194"/>
    </row>
    <row r="195" spans="2:2" ht="14.25" x14ac:dyDescent="0.45">
      <c r="B195"/>
    </row>
    <row r="196" spans="2:2" ht="14.25" x14ac:dyDescent="0.45">
      <c r="B196"/>
    </row>
    <row r="197" spans="2:2" ht="14.25" x14ac:dyDescent="0.45">
      <c r="B197"/>
    </row>
    <row r="198" spans="2:2" ht="14.25" x14ac:dyDescent="0.45">
      <c r="B198"/>
    </row>
    <row r="199" spans="2:2" ht="14.25" x14ac:dyDescent="0.45">
      <c r="B199"/>
    </row>
    <row r="200" spans="2:2" ht="14.25" x14ac:dyDescent="0.45">
      <c r="B200"/>
    </row>
    <row r="201" spans="2:2" ht="14.25" x14ac:dyDescent="0.45">
      <c r="B201"/>
    </row>
    <row r="202" spans="2:2" ht="14.25" x14ac:dyDescent="0.45">
      <c r="B202"/>
    </row>
    <row r="203" spans="2:2" ht="14.25" x14ac:dyDescent="0.45">
      <c r="B203"/>
    </row>
    <row r="204" spans="2:2" ht="14.25" x14ac:dyDescent="0.45">
      <c r="B204"/>
    </row>
    <row r="205" spans="2:2" ht="14.25" x14ac:dyDescent="0.45">
      <c r="B205"/>
    </row>
    <row r="206" spans="2:2" ht="14.25" x14ac:dyDescent="0.45">
      <c r="B206"/>
    </row>
    <row r="207" spans="2:2" ht="14.25" x14ac:dyDescent="0.45">
      <c r="B207"/>
    </row>
    <row r="208" spans="2:2" ht="14.25" x14ac:dyDescent="0.45">
      <c r="B208"/>
    </row>
    <row r="209" spans="2:2" ht="14.25" x14ac:dyDescent="0.45">
      <c r="B209"/>
    </row>
    <row r="210" spans="2:2" ht="14.25" x14ac:dyDescent="0.45">
      <c r="B210"/>
    </row>
    <row r="211" spans="2:2" ht="14.25" x14ac:dyDescent="0.45">
      <c r="B211"/>
    </row>
    <row r="212" spans="2:2" ht="14.25" x14ac:dyDescent="0.45">
      <c r="B212"/>
    </row>
    <row r="213" spans="2:2" ht="14.25" x14ac:dyDescent="0.45">
      <c r="B213"/>
    </row>
    <row r="214" spans="2:2" ht="14.25" x14ac:dyDescent="0.45">
      <c r="B214"/>
    </row>
    <row r="215" spans="2:2" ht="14.25" x14ac:dyDescent="0.4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S117"/>
  <sheetViews>
    <sheetView zoomScale="110" zoomScaleNormal="110" workbookViewId="0">
      <selection activeCell="C4" sqref="C4"/>
    </sheetView>
  </sheetViews>
  <sheetFormatPr defaultColWidth="8.86328125" defaultRowHeight="11.65" x14ac:dyDescent="0.35"/>
  <cols>
    <col min="1" max="1" width="2" style="33" customWidth="1"/>
    <col min="2" max="2" width="19.3984375" style="33" bestFit="1" customWidth="1"/>
    <col min="3" max="4" width="5.73046875" style="46" bestFit="1" customWidth="1"/>
    <col min="5" max="5" width="6" style="46" bestFit="1" customWidth="1"/>
    <col min="6" max="6" width="1.86328125" style="33" customWidth="1"/>
    <col min="7" max="7" width="10.19921875" style="63" customWidth="1"/>
    <col min="8" max="8" width="7.3984375" style="33" customWidth="1"/>
    <col min="9" max="16384" width="8.86328125" style="33"/>
  </cols>
  <sheetData>
    <row r="1" spans="2:19" ht="15" x14ac:dyDescent="0.4">
      <c r="B1" s="34" t="s">
        <v>237</v>
      </c>
    </row>
    <row r="2" spans="2:19" x14ac:dyDescent="0.35">
      <c r="G2" s="64"/>
      <c r="H2" s="44"/>
    </row>
    <row r="3" spans="2:19" ht="35.25" thickBot="1" x14ac:dyDescent="0.4">
      <c r="B3" s="35" t="s">
        <v>243</v>
      </c>
      <c r="C3" s="32" t="s">
        <v>220</v>
      </c>
      <c r="D3" s="32" t="s">
        <v>221</v>
      </c>
      <c r="E3" s="32" t="s">
        <v>222</v>
      </c>
      <c r="G3" s="65" t="s">
        <v>250</v>
      </c>
      <c r="H3" s="45" t="s">
        <v>249</v>
      </c>
    </row>
    <row r="4" spans="2:19" x14ac:dyDescent="0.35">
      <c r="B4" s="2" t="s">
        <v>225</v>
      </c>
      <c r="C4" s="47">
        <f>SUMIF('2.1 Database'!$J:$J,'2.2 P&amp;L statement'!$B4,'2.1 Database'!F:F)/1000000</f>
        <v>14.500341000000001</v>
      </c>
      <c r="D4" s="47">
        <f>SUMIF('2.1 Database'!$J:$J,'2.2 P&amp;L statement'!$B4,'2.1 Database'!G:G)/1000000</f>
        <v>16.148295364999999</v>
      </c>
      <c r="E4" s="47">
        <f>SUMIF('2.1 Database'!$J:$J,'2.2 P&amp;L statement'!$B4,'2.1 Database'!H:H)/1000000</f>
        <v>15.047803019</v>
      </c>
      <c r="G4" s="66">
        <f>+IF(ISERROR((D4/C4)-1),"Na",IF(((D4/C4)-1)&gt;1,"&gt;100.0%",IF(((D4/C4)-1)&lt;-1,"&lt;-100.0%",((D4/C4)-1))))</f>
        <v>0.11364935245315944</v>
      </c>
      <c r="H4" s="66">
        <f>+IF(ISERROR((E4/D4)-1),"n.a.",IF(((E4/D4)-1)&gt;1,"&gt;100.0%",IF(((E4/D4)-1)&lt;-1,"&lt;-100.0%",((E4/D4)-1))))</f>
        <v>-6.8149134080444096E-2</v>
      </c>
      <c r="J4" s="59"/>
    </row>
    <row r="5" spans="2:19" x14ac:dyDescent="0.35">
      <c r="B5" s="2" t="s">
        <v>66</v>
      </c>
      <c r="C5" s="47">
        <f>SUMIF('2.1 Database'!$J:$J,'2.2 P&amp;L statement'!$B5,'2.1 Database'!F:F)/1000000</f>
        <v>4.7948561920000001</v>
      </c>
      <c r="D5" s="47">
        <f>SUMIF('2.1 Database'!$J:$J,'2.2 P&amp;L statement'!$B5,'2.1 Database'!G:G)/1000000</f>
        <v>6.9602176449999993</v>
      </c>
      <c r="E5" s="47">
        <f>SUMIF('2.1 Database'!$J:$J,'2.2 P&amp;L statement'!$B5,'2.1 Database'!H:H)/1000000</f>
        <v>6.3736175140000002</v>
      </c>
      <c r="G5" s="66">
        <f t="shared" ref="G5:G24" si="0">+IF(ISERROR((D5/C5)-1),"n.a.",IF(((D5/C5)-1)&gt;1,"&gt;100.0%",IF(((D5/C5)-1)&lt;-1,"&lt;-100.0%",((D5/C5)-1))))</f>
        <v>0.45160091696030569</v>
      </c>
      <c r="H5" s="66">
        <f t="shared" ref="H5:H24" si="1">+IF(ISERROR((E5/D5)-1),"n.a.",IF(((E5/D5)-1)&gt;1,"&gt;100.0%",IF(((E5/D5)-1)&lt;-1,"&lt;-100.0%",((E5/D5)-1))))</f>
        <v>-8.4278992542911935E-2</v>
      </c>
    </row>
    <row r="6" spans="2:19" x14ac:dyDescent="0.35">
      <c r="B6" s="2" t="s">
        <v>228</v>
      </c>
      <c r="C6" s="47">
        <f>SUMIF('2.1 Database'!$J:$J,'2.2 P&amp;L statement'!$B6,'2.1 Database'!F:F)/1000000</f>
        <v>3.2200542519999997</v>
      </c>
      <c r="D6" s="47">
        <f>SUMIF('2.1 Database'!$J:$J,'2.2 P&amp;L statement'!$B6,'2.1 Database'!G:G)/1000000</f>
        <v>2.9240919949999999</v>
      </c>
      <c r="E6" s="47">
        <f>SUMIF('2.1 Database'!$J:$J,'2.2 P&amp;L statement'!$B6,'2.1 Database'!H:H)/1000000</f>
        <v>4.8931777299999997</v>
      </c>
      <c r="G6" s="66">
        <f t="shared" si="0"/>
        <v>-9.1912195832158816E-2</v>
      </c>
      <c r="H6" s="66">
        <f t="shared" si="1"/>
        <v>0.67340074743441836</v>
      </c>
    </row>
    <row r="7" spans="2:19" x14ac:dyDescent="0.35">
      <c r="B7" s="36" t="s">
        <v>238</v>
      </c>
      <c r="C7" s="48">
        <f>SUM(C4:C6)</f>
        <v>22.515251444</v>
      </c>
      <c r="D7" s="48">
        <f t="shared" ref="D7:E7" si="2">SUM(D4:D6)</f>
        <v>26.032605005000001</v>
      </c>
      <c r="E7" s="48">
        <f t="shared" si="2"/>
        <v>26.314598263000001</v>
      </c>
      <c r="G7" s="66">
        <f t="shared" si="0"/>
        <v>0.15622093183140207</v>
      </c>
      <c r="H7" s="66">
        <f t="shared" si="1"/>
        <v>1.0832310402506318E-2</v>
      </c>
    </row>
    <row r="8" spans="2:19" x14ac:dyDescent="0.35">
      <c r="B8" s="2" t="s">
        <v>104</v>
      </c>
      <c r="C8" s="48">
        <f>SUMIF('2.1 Database'!$J:$J,'2.2 P&amp;L statement'!$B8,'2.1 Database'!F:F)/1000000</f>
        <v>-4.4289117640000004</v>
      </c>
      <c r="D8" s="48">
        <f>SUMIF('2.1 Database'!$J:$J,'2.2 P&amp;L statement'!$B8,'2.1 Database'!G:G)/1000000</f>
        <v>-5.4631888250000005</v>
      </c>
      <c r="E8" s="48">
        <f>SUMIF('2.1 Database'!$J:$J,'2.2 P&amp;L statement'!$B8,'2.1 Database'!H:H)/1000000</f>
        <v>-5.6741520669999996</v>
      </c>
      <c r="G8" s="66">
        <f t="shared" si="0"/>
        <v>0.23352848647991253</v>
      </c>
      <c r="H8" s="66">
        <f t="shared" si="1"/>
        <v>3.861540370609462E-2</v>
      </c>
    </row>
    <row r="9" spans="2:19" x14ac:dyDescent="0.35">
      <c r="B9" s="36" t="s">
        <v>239</v>
      </c>
      <c r="C9" s="48">
        <f>SUM(C7:C8)</f>
        <v>18.086339680000002</v>
      </c>
      <c r="D9" s="48">
        <f t="shared" ref="D9:E9" si="3">SUM(D7:D8)</f>
        <v>20.569416180000001</v>
      </c>
      <c r="E9" s="48">
        <f t="shared" si="3"/>
        <v>20.640446195999999</v>
      </c>
      <c r="G9" s="66">
        <f t="shared" si="0"/>
        <v>0.13729016174266606</v>
      </c>
      <c r="H9" s="66">
        <f t="shared" si="1"/>
        <v>3.4531858064625887E-3</v>
      </c>
    </row>
    <row r="10" spans="2:19" x14ac:dyDescent="0.35">
      <c r="B10" s="2" t="s">
        <v>226</v>
      </c>
      <c r="C10" s="47">
        <f>SUMIF('2.1 Database'!$J:$J,'2.2 P&amp;L statement'!$B10,'2.1 Database'!F:F)/1000000</f>
        <v>-3.3966489799999997</v>
      </c>
      <c r="D10" s="47">
        <f>SUMIF('2.1 Database'!$J:$J,'2.2 P&amp;L statement'!$B10,'2.1 Database'!G:G)/1000000</f>
        <v>-3.7048433449999996</v>
      </c>
      <c r="E10" s="47">
        <f>SUMIF('2.1 Database'!$J:$J,'2.2 P&amp;L statement'!$B10,'2.1 Database'!H:H)/1000000</f>
        <v>-6.6874830379999999</v>
      </c>
      <c r="G10" s="66">
        <f t="shared" si="0"/>
        <v>9.0734829184498045E-2</v>
      </c>
      <c r="H10" s="66">
        <f t="shared" si="1"/>
        <v>0.80506499607475335</v>
      </c>
    </row>
    <row r="11" spans="2:19" x14ac:dyDescent="0.35">
      <c r="B11" s="2" t="s">
        <v>227</v>
      </c>
      <c r="C11" s="47">
        <f>SUMIF('2.1 Database'!$J:$J,'2.2 P&amp;L statement'!$B11,'2.1 Database'!F:F)/1000000</f>
        <v>-6.17073904</v>
      </c>
      <c r="D11" s="47">
        <f>SUMIF('2.1 Database'!$J:$J,'2.2 P&amp;L statement'!$B11,'2.1 Database'!G:G)/1000000</f>
        <v>-8.0718589449999989</v>
      </c>
      <c r="E11" s="47">
        <f>SUMIF('2.1 Database'!$J:$J,'2.2 P&amp;L statement'!$B11,'2.1 Database'!H:H)/1000000</f>
        <v>-5.8358881759999992</v>
      </c>
      <c r="G11" s="66">
        <f t="shared" si="0"/>
        <v>0.30808625882192531</v>
      </c>
      <c r="H11" s="66">
        <f t="shared" si="1"/>
        <v>-0.27700815688622027</v>
      </c>
    </row>
    <row r="12" spans="2:19" x14ac:dyDescent="0.35">
      <c r="B12" s="2" t="s">
        <v>229</v>
      </c>
      <c r="C12" s="47">
        <f>SUMIF('2.1 Database'!$J:$J,'2.2 P&amp;L statement'!$B12,'2.1 Database'!F:F)/1000000</f>
        <v>-1.127445872</v>
      </c>
      <c r="D12" s="47">
        <f>SUMIF('2.1 Database'!$J:$J,'2.2 P&amp;L statement'!$B12,'2.1 Database'!G:G)/1000000</f>
        <v>-1.0553814750000001</v>
      </c>
      <c r="E12" s="47">
        <f>SUMIF('2.1 Database'!$J:$J,'2.2 P&amp;L statement'!$B12,'2.1 Database'!H:H)/1000000</f>
        <v>1.596053449</v>
      </c>
      <c r="G12" s="66">
        <f t="shared" si="0"/>
        <v>-6.391827651305626E-2</v>
      </c>
      <c r="H12" s="66" t="str">
        <f t="shared" si="1"/>
        <v>&lt;-100.0%</v>
      </c>
    </row>
    <row r="13" spans="2:19" x14ac:dyDescent="0.35">
      <c r="B13" s="2" t="s">
        <v>230</v>
      </c>
      <c r="C13" s="47">
        <f>SUMIF('2.1 Database'!$J:$J,'2.2 P&amp;L statement'!$B13,'2.1 Database'!F:F)/1000000</f>
        <v>-2.5430882079999995</v>
      </c>
      <c r="D13" s="47">
        <f>SUMIF('2.1 Database'!$J:$J,'2.2 P&amp;L statement'!$B13,'2.1 Database'!G:G)/1000000</f>
        <v>-1.837786345</v>
      </c>
      <c r="E13" s="47">
        <f>SUMIF('2.1 Database'!$J:$J,'2.2 P&amp;L statement'!$B13,'2.1 Database'!H:H)/1000000</f>
        <v>-1.9549839309999999</v>
      </c>
      <c r="G13" s="66">
        <f t="shared" si="0"/>
        <v>-0.27734069969782171</v>
      </c>
      <c r="H13" s="66">
        <f t="shared" si="1"/>
        <v>6.3771061483210545E-2</v>
      </c>
      <c r="S13" s="63"/>
    </row>
    <row r="14" spans="2:19" x14ac:dyDescent="0.35">
      <c r="B14" s="2" t="s">
        <v>231</v>
      </c>
      <c r="C14" s="47">
        <f>SUMIF('2.1 Database'!$J:$J,'2.2 P&amp;L statement'!$B14,'2.1 Database'!F:F)/1000000</f>
        <v>-1.8135250039999999</v>
      </c>
      <c r="D14" s="47">
        <f>SUMIF('2.1 Database'!$J:$J,'2.2 P&amp;L statement'!$B14,'2.1 Database'!G:G)/1000000</f>
        <v>-2.3932591899999998</v>
      </c>
      <c r="E14" s="49">
        <f>SUMIF('2.1 Database'!$J:$J,'2.2 P&amp;L statement'!$B14,'2.1 Database'!H:H)/1000000</f>
        <v>-2.5144318869999998</v>
      </c>
      <c r="G14" s="66">
        <f t="shared" si="0"/>
        <v>0.31967256294857238</v>
      </c>
      <c r="H14" s="66">
        <f t="shared" si="1"/>
        <v>5.0630829082912721E-2</v>
      </c>
      <c r="S14" s="63"/>
    </row>
    <row r="15" spans="2:19" x14ac:dyDescent="0.35">
      <c r="B15" s="2" t="s">
        <v>74</v>
      </c>
      <c r="C15" s="47">
        <f>SUMIF('2.1 Database'!$J:$J,'2.2 P&amp;L statement'!$B15,'2.1 Database'!F:F)/1000000</f>
        <v>5.7221999999999995E-5</v>
      </c>
      <c r="D15" s="47">
        <f>SUMIF('2.1 Database'!$J:$J,'2.2 P&amp;L statement'!$B15,'2.1 Database'!G:G)/1000000</f>
        <v>-7.3574899999999995E-3</v>
      </c>
      <c r="E15" s="47">
        <f>SUMIF('2.1 Database'!$J:$J,'2.2 P&amp;L statement'!$B15,'2.1 Database'!H:H)/1000000</f>
        <v>4.678542799999999E-2</v>
      </c>
      <c r="G15" s="66" t="str">
        <f t="shared" si="0"/>
        <v>&lt;-100.0%</v>
      </c>
      <c r="H15" s="66" t="str">
        <f t="shared" si="1"/>
        <v>&lt;-100.0%</v>
      </c>
    </row>
    <row r="16" spans="2:19" x14ac:dyDescent="0.35">
      <c r="B16" s="2" t="s">
        <v>67</v>
      </c>
      <c r="C16" s="47">
        <f>SUMIF('2.1 Database'!$J:$J,'2.2 P&amp;L statement'!$B16,'2.1 Database'!F:F)/1000000</f>
        <v>5.2683321979999995</v>
      </c>
      <c r="D16" s="47">
        <f>SUMIF('2.1 Database'!$J:$J,'2.2 P&amp;L statement'!$B16,'2.1 Database'!G:G)/1000000</f>
        <v>0.74482694999999999</v>
      </c>
      <c r="E16" s="47">
        <f>SUMIF('2.1 Database'!$J:$J,'2.2 P&amp;L statement'!$B16,'2.1 Database'!H:H)/1000000</f>
        <v>0</v>
      </c>
      <c r="G16" s="66">
        <f t="shared" si="0"/>
        <v>-0.85862187082986985</v>
      </c>
      <c r="H16" s="66">
        <f t="shared" si="1"/>
        <v>-1</v>
      </c>
    </row>
    <row r="17" spans="2:8" x14ac:dyDescent="0.35">
      <c r="B17" s="37" t="s">
        <v>240</v>
      </c>
      <c r="C17" s="60">
        <f>SUM(C9:C16)</f>
        <v>8.3032819960000026</v>
      </c>
      <c r="D17" s="60">
        <f t="shared" ref="D17:E17" si="4">SUM(D9:D16)</f>
        <v>4.2437563400000018</v>
      </c>
      <c r="E17" s="60">
        <f t="shared" si="4"/>
        <v>5.2904980409999993</v>
      </c>
      <c r="G17" s="69">
        <f t="shared" si="0"/>
        <v>-0.48890615276653548</v>
      </c>
      <c r="H17" s="69">
        <f t="shared" si="1"/>
        <v>0.24665452423217982</v>
      </c>
    </row>
    <row r="18" spans="2:8" x14ac:dyDescent="0.35">
      <c r="B18" s="2" t="s">
        <v>72</v>
      </c>
      <c r="C18" s="47">
        <f>SUMIF('2.1 Database'!$J:$J,'2.2 P&amp;L statement'!$B18,'2.1 Database'!F:F)/1000000</f>
        <v>-2.045243514</v>
      </c>
      <c r="D18" s="47">
        <f>SUMIF('2.1 Database'!$J:$J,'2.2 P&amp;L statement'!$B18,'2.1 Database'!G:G)/1000000</f>
        <v>-2.0440058150000002</v>
      </c>
      <c r="E18" s="47">
        <f>SUMIF('2.1 Database'!$J:$J,'2.2 P&amp;L statement'!$B18,'2.1 Database'!H:H)/1000000</f>
        <v>-1.8883615140000001</v>
      </c>
      <c r="G18" s="66">
        <f t="shared" si="0"/>
        <v>-6.0515972378227811E-4</v>
      </c>
      <c r="H18" s="66">
        <f t="shared" si="1"/>
        <v>-7.6146701666795491E-2</v>
      </c>
    </row>
    <row r="19" spans="2:8" x14ac:dyDescent="0.35">
      <c r="B19" s="36" t="s">
        <v>241</v>
      </c>
      <c r="C19" s="61">
        <f>SUM(C17+C18)</f>
        <v>6.2580384820000026</v>
      </c>
      <c r="D19" s="61">
        <f t="shared" ref="D19:E19" si="5">SUM(D17+D18)</f>
        <v>2.1997505250000016</v>
      </c>
      <c r="E19" s="61">
        <f t="shared" si="5"/>
        <v>3.4021365269999992</v>
      </c>
      <c r="F19" s="62"/>
      <c r="G19" s="67">
        <f t="shared" si="0"/>
        <v>-0.64849201050342775</v>
      </c>
      <c r="H19" s="67">
        <f t="shared" si="1"/>
        <v>0.54660107513782585</v>
      </c>
    </row>
    <row r="20" spans="2:8" ht="14.25" x14ac:dyDescent="0.45">
      <c r="B20" s="2" t="s">
        <v>232</v>
      </c>
      <c r="C20" s="47">
        <f>SUMIF('2.1 Database'!$J:$J,'2.2 P&amp;L statement'!$B20,'2.1 Database'!F:F)/1000000</f>
        <v>-2.8426923660000001</v>
      </c>
      <c r="D20" s="47">
        <f>SUMIF('2.1 Database'!$J:$J,'2.2 P&amp;L statement'!$B20,'2.1 Database'!G:G)/1000000</f>
        <v>-2.7107469200000001</v>
      </c>
      <c r="E20" s="50">
        <f>SUMIF('2.1 Database'!$J:$J,'2.2 P&amp;L statement'!$B20,'2.1 Database'!H:H)/1000000</f>
        <v>-2.250707829</v>
      </c>
      <c r="G20" s="66">
        <f t="shared" si="0"/>
        <v>-4.6415661285805099E-2</v>
      </c>
      <c r="H20" s="66">
        <f t="shared" si="1"/>
        <v>-0.16970934748862498</v>
      </c>
    </row>
    <row r="21" spans="2:8" ht="14.25" x14ac:dyDescent="0.45">
      <c r="B21" s="2" t="s">
        <v>233</v>
      </c>
      <c r="C21" s="47">
        <f>SUMIF('2.1 Database'!$J:$J,'2.2 P&amp;L statement'!$B21,'2.1 Database'!F:F)/1000000</f>
        <v>-2.2762999999999999E-2</v>
      </c>
      <c r="D21" s="47">
        <f>SUMIF('2.1 Database'!$J:$J,'2.2 P&amp;L statement'!$B21,'2.1 Database'!G:G)/1000000</f>
        <v>-4.5786198000000002</v>
      </c>
      <c r="E21" s="50">
        <f>SUMIF('2.1 Database'!$J:$J,'2.2 P&amp;L statement'!$B21,'2.1 Database'!H:H)/1000000</f>
        <v>-7.1731959999999989E-3</v>
      </c>
      <c r="G21" s="66" t="str">
        <f t="shared" si="0"/>
        <v>&gt;100.0%</v>
      </c>
      <c r="H21" s="66">
        <f t="shared" si="1"/>
        <v>-0.99843332787754069</v>
      </c>
    </row>
    <row r="22" spans="2:8" x14ac:dyDescent="0.35">
      <c r="B22" s="36" t="s">
        <v>242</v>
      </c>
      <c r="C22" s="61">
        <f>SUM(C19:C21)</f>
        <v>3.3925831160000026</v>
      </c>
      <c r="D22" s="61">
        <f t="shared" ref="D22:E22" si="6">SUM(D19:D21)</f>
        <v>-5.0896161949999987</v>
      </c>
      <c r="E22" s="61">
        <f t="shared" si="6"/>
        <v>1.1442555019999991</v>
      </c>
      <c r="F22" s="62"/>
      <c r="G22" s="67" t="str">
        <f t="shared" si="0"/>
        <v>&lt;-100.0%</v>
      </c>
      <c r="H22" s="67" t="str">
        <f t="shared" si="1"/>
        <v>&lt;-100.0%</v>
      </c>
    </row>
    <row r="23" spans="2:8" ht="14.25" x14ac:dyDescent="0.45">
      <c r="B23" s="2" t="s">
        <v>234</v>
      </c>
      <c r="C23" s="47">
        <f>SUMIF('2.1 Database'!$J:$J,'2.2 P&amp;L statement'!$B23,'2.1 Database'!F:F)/1000000</f>
        <v>-0.48846512199999997</v>
      </c>
      <c r="D23" s="47">
        <f>SUMIF('2.1 Database'!$J:$J,'2.2 P&amp;L statement'!$B23,'2.1 Database'!G:G)/1000000</f>
        <v>-0.98419196500000017</v>
      </c>
      <c r="E23" s="50">
        <f>SUMIF('2.1 Database'!$J:$J,'2.2 P&amp;L statement'!$B23,'2.1 Database'!H:H)/1000000</f>
        <v>-0.36496502599999997</v>
      </c>
      <c r="G23" s="66" t="str">
        <f t="shared" si="0"/>
        <v>&gt;100.0%</v>
      </c>
      <c r="H23" s="66">
        <f t="shared" si="1"/>
        <v>-0.62917292664546398</v>
      </c>
    </row>
    <row r="24" spans="2:8" ht="12" thickBot="1" x14ac:dyDescent="0.4">
      <c r="B24" s="38" t="s">
        <v>235</v>
      </c>
      <c r="C24" s="51">
        <f>(SUM(C22:C23))</f>
        <v>2.9041179940000026</v>
      </c>
      <c r="D24" s="51">
        <f t="shared" ref="D24:E24" si="7">SUM(D22:D23)</f>
        <v>-6.0738081599999987</v>
      </c>
      <c r="E24" s="51">
        <f t="shared" si="7"/>
        <v>0.77929047599999923</v>
      </c>
      <c r="G24" s="68" t="str">
        <f t="shared" si="0"/>
        <v>&lt;-100.0%</v>
      </c>
      <c r="H24" s="68" t="str">
        <f t="shared" si="1"/>
        <v>&lt;-100.0%</v>
      </c>
    </row>
    <row r="25" spans="2:8" x14ac:dyDescent="0.35">
      <c r="B25" s="43"/>
      <c r="C25" s="52"/>
      <c r="D25" s="52"/>
      <c r="E25" s="52"/>
    </row>
    <row r="26" spans="2:8" x14ac:dyDescent="0.35">
      <c r="B26" s="73" t="s">
        <v>253</v>
      </c>
      <c r="C26" s="74"/>
      <c r="D26" s="74"/>
      <c r="E26" s="74"/>
    </row>
    <row r="27" spans="2:8" x14ac:dyDescent="0.35">
      <c r="B27" s="75" t="s">
        <v>254</v>
      </c>
      <c r="C27" s="76">
        <f>C9/C7</f>
        <v>0.80329281353949789</v>
      </c>
      <c r="D27" s="76">
        <f t="shared" ref="D27:E27" si="8">D9/D7</f>
        <v>0.79014052477841912</v>
      </c>
      <c r="E27" s="76">
        <f t="shared" si="8"/>
        <v>0.78437246085651935</v>
      </c>
    </row>
    <row r="28" spans="2:8" x14ac:dyDescent="0.35">
      <c r="B28" s="75" t="s">
        <v>255</v>
      </c>
      <c r="C28" s="76">
        <f>C17/C7</f>
        <v>0.36878477758296191</v>
      </c>
      <c r="D28" s="76">
        <f t="shared" ref="D28:E28" si="9">D17/D7</f>
        <v>0.16301696811306118</v>
      </c>
      <c r="E28" s="76">
        <f t="shared" si="9"/>
        <v>0.20104802619916018</v>
      </c>
    </row>
    <row r="29" spans="2:8" x14ac:dyDescent="0.35">
      <c r="B29" s="75" t="s">
        <v>256</v>
      </c>
      <c r="C29" s="76">
        <f>C19/C7</f>
        <v>0.2779466397506159</v>
      </c>
      <c r="D29" s="76">
        <f t="shared" ref="D29:E29" si="10">D19/D7</f>
        <v>8.4499823378317393E-2</v>
      </c>
      <c r="E29" s="76">
        <f t="shared" si="10"/>
        <v>0.12928704033394345</v>
      </c>
    </row>
    <row r="30" spans="2:8" x14ac:dyDescent="0.35">
      <c r="B30" s="43"/>
      <c r="C30" s="52"/>
      <c r="D30" s="52"/>
      <c r="E30" s="52"/>
    </row>
    <row r="31" spans="2:8" x14ac:dyDescent="0.35">
      <c r="B31" s="43"/>
      <c r="C31" s="52"/>
      <c r="D31" s="52"/>
      <c r="E31" s="52"/>
    </row>
    <row r="32" spans="2:8" x14ac:dyDescent="0.35">
      <c r="B32" s="43"/>
      <c r="C32" s="52"/>
      <c r="D32" s="52"/>
      <c r="E32" s="52"/>
    </row>
    <row r="33" spans="2:7" x14ac:dyDescent="0.35">
      <c r="B33" s="43"/>
      <c r="C33" s="52"/>
      <c r="D33" s="52"/>
      <c r="E33" s="52"/>
    </row>
    <row r="34" spans="2:7" x14ac:dyDescent="0.35">
      <c r="B34" s="43"/>
      <c r="C34" s="52"/>
      <c r="D34" s="52"/>
      <c r="E34" s="52"/>
    </row>
    <row r="35" spans="2:7" ht="14.25" x14ac:dyDescent="0.45">
      <c r="C35" s="53"/>
      <c r="E35" s="54"/>
    </row>
    <row r="36" spans="2:7" x14ac:dyDescent="0.35">
      <c r="C36" s="33"/>
      <c r="D36" s="33"/>
      <c r="E36" s="33"/>
      <c r="G36" s="33"/>
    </row>
    <row r="37" spans="2:7" x14ac:dyDescent="0.35">
      <c r="C37" s="33"/>
      <c r="D37" s="33"/>
      <c r="E37" s="33"/>
      <c r="G37" s="33"/>
    </row>
    <row r="38" spans="2:7" x14ac:dyDescent="0.35">
      <c r="C38" s="33"/>
      <c r="D38" s="33"/>
      <c r="E38" s="33"/>
      <c r="G38" s="33"/>
    </row>
    <row r="39" spans="2:7" x14ac:dyDescent="0.35">
      <c r="C39" s="33"/>
      <c r="D39" s="33"/>
      <c r="E39" s="33"/>
      <c r="G39" s="33"/>
    </row>
    <row r="40" spans="2:7" x14ac:dyDescent="0.35">
      <c r="C40" s="33"/>
      <c r="D40" s="33"/>
      <c r="E40" s="33"/>
      <c r="G40" s="33"/>
    </row>
    <row r="41" spans="2:7" x14ac:dyDescent="0.35">
      <c r="C41" s="33"/>
      <c r="D41" s="33"/>
      <c r="E41" s="33"/>
      <c r="G41" s="33"/>
    </row>
    <row r="42" spans="2:7" x14ac:dyDescent="0.35">
      <c r="C42" s="33"/>
      <c r="D42" s="33"/>
      <c r="E42" s="33"/>
      <c r="G42" s="33"/>
    </row>
    <row r="43" spans="2:7" x14ac:dyDescent="0.35">
      <c r="C43" s="33"/>
      <c r="D43" s="33"/>
      <c r="E43" s="33"/>
      <c r="G43" s="33"/>
    </row>
    <row r="44" spans="2:7" ht="14.25" x14ac:dyDescent="0.45">
      <c r="E44" s="54"/>
    </row>
    <row r="45" spans="2:7" ht="14.25" x14ac:dyDescent="0.45">
      <c r="E45" s="54"/>
    </row>
    <row r="46" spans="2:7" ht="14.25" x14ac:dyDescent="0.45">
      <c r="E46" s="54"/>
    </row>
    <row r="47" spans="2:7" ht="14.25" x14ac:dyDescent="0.45">
      <c r="E47" s="54"/>
    </row>
    <row r="48" spans="2:7" ht="14.25" x14ac:dyDescent="0.45">
      <c r="E48" s="54"/>
    </row>
    <row r="49" spans="2:8" ht="14.25" x14ac:dyDescent="0.45">
      <c r="E49" s="54"/>
    </row>
    <row r="50" spans="2:8" ht="14.25" x14ac:dyDescent="0.45">
      <c r="B50" s="43" t="s">
        <v>248</v>
      </c>
      <c r="C50" s="70"/>
      <c r="D50" s="71"/>
      <c r="E50" s="72"/>
      <c r="G50" s="33"/>
      <c r="H50" s="63"/>
    </row>
    <row r="51" spans="2:8" x14ac:dyDescent="0.35">
      <c r="B51" s="40" t="s">
        <v>235</v>
      </c>
      <c r="C51" s="55">
        <f>SUMIF('2.1 Database'!$J:$J,'2.2 P&amp;L statement'!$B51,'2.1 Database'!F:F)/1000000</f>
        <v>-2.9041179939999986</v>
      </c>
      <c r="D51" s="55">
        <f>SUMIF('2.1 Database'!$J:$J,'2.2 P&amp;L statement'!$B51,'2.1 Database'!G:G)/1000000</f>
        <v>6.0738081600000005</v>
      </c>
      <c r="E51" s="55">
        <f>SUMIF('2.1 Database'!$J:$J,'2.2 P&amp;L statement'!$B51,'2.1 Database'!H:H)/1000000</f>
        <v>-0.77929047600000001</v>
      </c>
      <c r="G51" s="33"/>
      <c r="H51" s="63"/>
    </row>
    <row r="52" spans="2:8" ht="14.65" thickBot="1" x14ac:dyDescent="0.5">
      <c r="B52" s="41"/>
      <c r="C52" s="56"/>
      <c r="D52" s="56"/>
      <c r="E52" s="57"/>
      <c r="H52" s="63"/>
    </row>
    <row r="53" spans="2:8" x14ac:dyDescent="0.35">
      <c r="C53" s="58">
        <f>ROUND(C24+C51,9)</f>
        <v>0</v>
      </c>
      <c r="D53" s="58">
        <f>ROUND(D24+D51,9)</f>
        <v>0</v>
      </c>
      <c r="E53" s="58">
        <f>ROUND(E24+E51,9)</f>
        <v>0</v>
      </c>
      <c r="H53" s="63"/>
    </row>
    <row r="54" spans="2:8" ht="14.25" x14ac:dyDescent="0.45">
      <c r="E54" s="54"/>
      <c r="H54" s="63"/>
    </row>
    <row r="55" spans="2:8" ht="14.25" x14ac:dyDescent="0.45">
      <c r="E55" s="54"/>
      <c r="H55" s="63"/>
    </row>
    <row r="56" spans="2:8" ht="14.25" x14ac:dyDescent="0.45">
      <c r="B56" s="62" t="s">
        <v>251</v>
      </c>
      <c r="E56" s="54"/>
      <c r="H56" s="63"/>
    </row>
    <row r="57" spans="2:8" ht="14.25" x14ac:dyDescent="0.45">
      <c r="B57" s="33" t="s">
        <v>252</v>
      </c>
      <c r="E57" s="54"/>
      <c r="H57" s="63"/>
    </row>
    <row r="58" spans="2:8" ht="14.25" x14ac:dyDescent="0.45">
      <c r="E58" s="54"/>
    </row>
    <row r="59" spans="2:8" ht="14.25" x14ac:dyDescent="0.45">
      <c r="E59" s="54"/>
    </row>
    <row r="60" spans="2:8" ht="14.25" x14ac:dyDescent="0.45">
      <c r="E60" s="54"/>
    </row>
    <row r="61" spans="2:8" ht="14.25" x14ac:dyDescent="0.45">
      <c r="E61" s="54"/>
    </row>
    <row r="62" spans="2:8" ht="14.25" x14ac:dyDescent="0.45">
      <c r="E62" s="54"/>
    </row>
    <row r="63" spans="2:8" ht="14.25" x14ac:dyDescent="0.45">
      <c r="E63" s="54"/>
    </row>
    <row r="64" spans="2:8" ht="14.25" x14ac:dyDescent="0.45">
      <c r="E64" s="54"/>
    </row>
    <row r="65" spans="5:5" ht="14.25" x14ac:dyDescent="0.45">
      <c r="E65" s="54"/>
    </row>
    <row r="66" spans="5:5" ht="14.25" x14ac:dyDescent="0.45">
      <c r="E66" s="54"/>
    </row>
    <row r="67" spans="5:5" ht="14.25" x14ac:dyDescent="0.45">
      <c r="E67" s="54"/>
    </row>
    <row r="68" spans="5:5" ht="14.25" x14ac:dyDescent="0.45">
      <c r="E68" s="54"/>
    </row>
    <row r="69" spans="5:5" ht="14.25" x14ac:dyDescent="0.45">
      <c r="E69" s="54"/>
    </row>
    <row r="70" spans="5:5" ht="14.25" x14ac:dyDescent="0.45">
      <c r="E70" s="54"/>
    </row>
    <row r="71" spans="5:5" ht="14.25" x14ac:dyDescent="0.45">
      <c r="E71" s="54"/>
    </row>
    <row r="72" spans="5:5" ht="14.25" x14ac:dyDescent="0.45">
      <c r="E72" s="54"/>
    </row>
    <row r="73" spans="5:5" ht="14.25" x14ac:dyDescent="0.45">
      <c r="E73" s="54"/>
    </row>
    <row r="74" spans="5:5" ht="14.25" x14ac:dyDescent="0.45">
      <c r="E74" s="54"/>
    </row>
    <row r="75" spans="5:5" ht="14.25" x14ac:dyDescent="0.45">
      <c r="E75" s="54"/>
    </row>
    <row r="76" spans="5:5" ht="14.25" x14ac:dyDescent="0.45">
      <c r="E76" s="54"/>
    </row>
    <row r="77" spans="5:5" ht="14.25" x14ac:dyDescent="0.45">
      <c r="E77" s="54"/>
    </row>
    <row r="78" spans="5:5" ht="14.25" x14ac:dyDescent="0.45">
      <c r="E78" s="54"/>
    </row>
    <row r="79" spans="5:5" ht="14.25" x14ac:dyDescent="0.45">
      <c r="E79" s="54"/>
    </row>
    <row r="80" spans="5:5" ht="14.25" x14ac:dyDescent="0.45">
      <c r="E80" s="54"/>
    </row>
    <row r="81" spans="5:5" ht="14.25" x14ac:dyDescent="0.45">
      <c r="E81" s="54"/>
    </row>
    <row r="82" spans="5:5" ht="14.25" x14ac:dyDescent="0.45">
      <c r="E82" s="54"/>
    </row>
    <row r="83" spans="5:5" ht="14.25" x14ac:dyDescent="0.45">
      <c r="E83" s="54"/>
    </row>
    <row r="84" spans="5:5" ht="14.25" x14ac:dyDescent="0.45">
      <c r="E84" s="54"/>
    </row>
    <row r="85" spans="5:5" ht="14.25" x14ac:dyDescent="0.45">
      <c r="E85" s="54"/>
    </row>
    <row r="86" spans="5:5" ht="14.25" x14ac:dyDescent="0.45">
      <c r="E86" s="54"/>
    </row>
    <row r="87" spans="5:5" ht="14.25" x14ac:dyDescent="0.45">
      <c r="E87" s="54"/>
    </row>
    <row r="88" spans="5:5" ht="14.25" x14ac:dyDescent="0.45">
      <c r="E88" s="54"/>
    </row>
    <row r="89" spans="5:5" ht="14.25" x14ac:dyDescent="0.45">
      <c r="E89" s="54"/>
    </row>
    <row r="90" spans="5:5" ht="14.25" x14ac:dyDescent="0.45">
      <c r="E90" s="54"/>
    </row>
    <row r="91" spans="5:5" ht="14.25" x14ac:dyDescent="0.45">
      <c r="E91" s="54"/>
    </row>
    <row r="92" spans="5:5" ht="14.25" x14ac:dyDescent="0.45">
      <c r="E92" s="54"/>
    </row>
    <row r="93" spans="5:5" ht="14.25" x14ac:dyDescent="0.45">
      <c r="E93" s="54"/>
    </row>
    <row r="94" spans="5:5" ht="14.25" x14ac:dyDescent="0.45">
      <c r="E94" s="54"/>
    </row>
    <row r="95" spans="5:5" ht="14.25" x14ac:dyDescent="0.45">
      <c r="E95" s="54"/>
    </row>
    <row r="96" spans="5:5" ht="14.25" x14ac:dyDescent="0.45">
      <c r="E96" s="54"/>
    </row>
    <row r="97" spans="5:5" ht="14.25" x14ac:dyDescent="0.45">
      <c r="E97" s="54"/>
    </row>
    <row r="98" spans="5:5" ht="14.25" x14ac:dyDescent="0.45">
      <c r="E98" s="54"/>
    </row>
    <row r="99" spans="5:5" ht="14.25" x14ac:dyDescent="0.45">
      <c r="E99" s="54"/>
    </row>
    <row r="100" spans="5:5" ht="14.25" x14ac:dyDescent="0.45">
      <c r="E100" s="54"/>
    </row>
    <row r="101" spans="5:5" ht="14.25" x14ac:dyDescent="0.45">
      <c r="E101" s="54"/>
    </row>
    <row r="102" spans="5:5" ht="14.25" x14ac:dyDescent="0.45">
      <c r="E102" s="54"/>
    </row>
    <row r="103" spans="5:5" ht="14.25" x14ac:dyDescent="0.45">
      <c r="E103" s="54"/>
    </row>
    <row r="104" spans="5:5" ht="14.25" x14ac:dyDescent="0.45">
      <c r="E104" s="54"/>
    </row>
    <row r="105" spans="5:5" ht="14.25" x14ac:dyDescent="0.45">
      <c r="E105" s="54"/>
    </row>
    <row r="106" spans="5:5" ht="14.25" x14ac:dyDescent="0.45">
      <c r="E106" s="54"/>
    </row>
    <row r="107" spans="5:5" ht="14.25" x14ac:dyDescent="0.45">
      <c r="E107" s="54"/>
    </row>
    <row r="108" spans="5:5" ht="14.25" x14ac:dyDescent="0.45">
      <c r="E108" s="54"/>
    </row>
    <row r="109" spans="5:5" ht="14.25" x14ac:dyDescent="0.45">
      <c r="E109" s="54"/>
    </row>
    <row r="110" spans="5:5" ht="14.25" x14ac:dyDescent="0.45">
      <c r="E110" s="54"/>
    </row>
    <row r="111" spans="5:5" ht="14.25" x14ac:dyDescent="0.45">
      <c r="E111" s="54"/>
    </row>
    <row r="112" spans="5:5" ht="14.25" x14ac:dyDescent="0.45">
      <c r="E112" s="54"/>
    </row>
    <row r="113" spans="5:5" ht="14.25" x14ac:dyDescent="0.45">
      <c r="E113" s="54"/>
    </row>
    <row r="114" spans="5:5" ht="14.25" x14ac:dyDescent="0.45">
      <c r="E114" s="54"/>
    </row>
    <row r="115" spans="5:5" ht="14.25" x14ac:dyDescent="0.45">
      <c r="E115" s="54"/>
    </row>
    <row r="116" spans="5:5" ht="14.25" x14ac:dyDescent="0.45">
      <c r="E116" s="54"/>
    </row>
    <row r="117" spans="5:5" ht="14.25" x14ac:dyDescent="0.45">
      <c r="E117" s="54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4F661-8DCA-4CD9-88A6-6F2F74626DBB}">
  <dimension ref="B1:E7"/>
  <sheetViews>
    <sheetView workbookViewId="0">
      <selection activeCell="E7" sqref="B1:E7"/>
    </sheetView>
  </sheetViews>
  <sheetFormatPr defaultRowHeight="14.25" x14ac:dyDescent="0.45"/>
  <cols>
    <col min="1" max="1" width="2.9296875" style="1" customWidth="1"/>
    <col min="2" max="2" width="23.3984375" style="1" bestFit="1" customWidth="1"/>
    <col min="3" max="3" width="16.1328125" style="1" bestFit="1" customWidth="1"/>
    <col min="4" max="16384" width="9.06640625" style="1"/>
  </cols>
  <sheetData>
    <row r="1" spans="2:5" ht="20.65" x14ac:dyDescent="0.6">
      <c r="B1" s="86" t="s">
        <v>277</v>
      </c>
      <c r="C1" s="2"/>
      <c r="D1" s="2"/>
      <c r="E1" s="2"/>
    </row>
    <row r="2" spans="2:5" x14ac:dyDescent="0.45">
      <c r="B2" s="2"/>
      <c r="C2" s="2"/>
      <c r="D2" s="2"/>
      <c r="E2" s="2"/>
    </row>
    <row r="3" spans="2:5" ht="15.75" thickBot="1" x14ac:dyDescent="0.5">
      <c r="B3" s="81"/>
      <c r="C3" s="82" t="s">
        <v>220</v>
      </c>
      <c r="D3" s="82" t="s">
        <v>221</v>
      </c>
      <c r="E3" s="82" t="s">
        <v>222</v>
      </c>
    </row>
    <row r="4" spans="2:5" ht="15.4" x14ac:dyDescent="0.45">
      <c r="B4" s="83" t="s">
        <v>225</v>
      </c>
      <c r="C4" s="84">
        <f>'2.2 P&amp;L statement'!C4</f>
        <v>14.500341000000001</v>
      </c>
      <c r="D4" s="84">
        <f>'2.2 P&amp;L statement'!D4</f>
        <v>16.148295364999999</v>
      </c>
      <c r="E4" s="84">
        <f>'2.2 P&amp;L statement'!E4</f>
        <v>15.047803019</v>
      </c>
    </row>
    <row r="5" spans="2:5" ht="15.4" x14ac:dyDescent="0.45">
      <c r="B5" s="83" t="s">
        <v>66</v>
      </c>
      <c r="C5" s="84">
        <f>'2.2 P&amp;L statement'!C5</f>
        <v>4.7948561920000001</v>
      </c>
      <c r="D5" s="84">
        <f>'2.2 P&amp;L statement'!D5</f>
        <v>6.9602176449999993</v>
      </c>
      <c r="E5" s="84">
        <f>'2.2 P&amp;L statement'!E5</f>
        <v>6.3736175140000002</v>
      </c>
    </row>
    <row r="6" spans="2:5" ht="15.4" x14ac:dyDescent="0.45">
      <c r="B6" s="83" t="s">
        <v>228</v>
      </c>
      <c r="C6" s="84">
        <f>'2.2 P&amp;L statement'!C6</f>
        <v>3.2200542519999997</v>
      </c>
      <c r="D6" s="84">
        <f>'2.2 P&amp;L statement'!D6</f>
        <v>2.9240919949999999</v>
      </c>
      <c r="E6" s="84">
        <f>'2.2 P&amp;L statement'!E6</f>
        <v>4.8931777299999997</v>
      </c>
    </row>
    <row r="7" spans="2:5" ht="15.4" x14ac:dyDescent="0.45">
      <c r="B7" s="83" t="s">
        <v>278</v>
      </c>
      <c r="C7" s="85">
        <f>'2.2 P&amp;L statement'!C27</f>
        <v>0.80329281353949789</v>
      </c>
      <c r="D7" s="85">
        <f>'2.2 P&amp;L statement'!D27</f>
        <v>0.79014052477841912</v>
      </c>
      <c r="E7" s="85">
        <f>'2.2 P&amp;L statement'!E27</f>
        <v>0.78437246085651935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N2:O10"/>
  <sheetViews>
    <sheetView tabSelected="1" workbookViewId="0">
      <selection activeCell="N10" sqref="N10"/>
    </sheetView>
  </sheetViews>
  <sheetFormatPr defaultRowHeight="14.25" x14ac:dyDescent="0.45"/>
  <cols>
    <col min="1" max="1" width="20.19921875" style="1" bestFit="1" customWidth="1"/>
    <col min="2" max="4" width="9.06640625" style="1"/>
    <col min="5" max="5" width="9.19921875" style="1" customWidth="1"/>
    <col min="6" max="16384" width="9.06640625" style="1"/>
  </cols>
  <sheetData>
    <row r="2" spans="14:15" ht="15.4" x14ac:dyDescent="0.45">
      <c r="N2" s="34" t="s">
        <v>257</v>
      </c>
      <c r="O2" s="33"/>
    </row>
    <row r="3" spans="14:15" x14ac:dyDescent="0.45">
      <c r="N3" s="33"/>
      <c r="O3" s="33"/>
    </row>
    <row r="4" spans="14:15" x14ac:dyDescent="0.45">
      <c r="N4" s="33"/>
      <c r="O4" s="33"/>
    </row>
    <row r="5" spans="14:15" x14ac:dyDescent="0.45">
      <c r="N5" s="33" t="s">
        <v>225</v>
      </c>
      <c r="O5" s="77">
        <v>14.5</v>
      </c>
    </row>
    <row r="6" spans="14:15" x14ac:dyDescent="0.45">
      <c r="N6" s="33" t="s">
        <v>104</v>
      </c>
      <c r="O6" s="77">
        <v>-4.4000000000000004</v>
      </c>
    </row>
    <row r="7" spans="14:15" x14ac:dyDescent="0.45">
      <c r="N7" s="33" t="s">
        <v>226</v>
      </c>
      <c r="O7" s="77">
        <v>-3.3</v>
      </c>
    </row>
    <row r="8" spans="14:15" x14ac:dyDescent="0.45">
      <c r="N8" s="33" t="s">
        <v>227</v>
      </c>
      <c r="O8" s="77">
        <v>-6.1</v>
      </c>
    </row>
    <row r="9" spans="14:15" x14ac:dyDescent="0.45">
      <c r="N9" s="33" t="s">
        <v>74</v>
      </c>
      <c r="O9" s="77">
        <v>0.3</v>
      </c>
    </row>
    <row r="10" spans="14:15" x14ac:dyDescent="0.45">
      <c r="N10" s="33" t="s">
        <v>240</v>
      </c>
      <c r="O10" s="78">
        <f>SUM(O5:O9)</f>
        <v>1.0000000000000002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15"/>
  <sheetViews>
    <sheetView workbookViewId="0">
      <selection activeCell="O9" sqref="O9"/>
    </sheetView>
  </sheetViews>
  <sheetFormatPr defaultRowHeight="14.25" x14ac:dyDescent="0.45"/>
  <cols>
    <col min="1" max="1" width="17.796875" style="1" customWidth="1"/>
    <col min="2" max="2" width="9.06640625" style="1"/>
    <col min="3" max="3" width="18.06640625" style="1" bestFit="1" customWidth="1"/>
    <col min="4" max="16384" width="9.06640625" style="1"/>
  </cols>
  <sheetData>
    <row r="1" spans="1:4" ht="15.4" x14ac:dyDescent="0.45">
      <c r="A1" s="3" t="s">
        <v>275</v>
      </c>
      <c r="B1" s="79"/>
      <c r="C1" s="79"/>
      <c r="D1" s="79"/>
    </row>
    <row r="3" spans="1:4" ht="16.149999999999999" customHeight="1" thickBot="1" x14ac:dyDescent="0.5">
      <c r="A3" s="80" t="s">
        <v>258</v>
      </c>
      <c r="B3" s="80" t="s">
        <v>259</v>
      </c>
      <c r="C3" s="80" t="s">
        <v>276</v>
      </c>
      <c r="D3" s="42"/>
    </row>
    <row r="4" spans="1:4" x14ac:dyDescent="0.45">
      <c r="A4" s="1" t="s">
        <v>260</v>
      </c>
      <c r="B4" s="1" t="s">
        <v>261</v>
      </c>
      <c r="C4" s="1">
        <v>19.5</v>
      </c>
    </row>
    <row r="5" spans="1:4" x14ac:dyDescent="0.45">
      <c r="A5" s="1" t="s">
        <v>260</v>
      </c>
      <c r="B5" s="1" t="s">
        <v>262</v>
      </c>
      <c r="C5" s="1">
        <v>5.6</v>
      </c>
    </row>
    <row r="6" spans="1:4" x14ac:dyDescent="0.45">
      <c r="A6" s="1" t="s">
        <v>260</v>
      </c>
      <c r="B6" s="1" t="s">
        <v>263</v>
      </c>
      <c r="C6" s="1">
        <v>4.8</v>
      </c>
    </row>
    <row r="7" spans="1:4" x14ac:dyDescent="0.45">
      <c r="A7" s="1" t="s">
        <v>260</v>
      </c>
      <c r="B7" s="1" t="s">
        <v>264</v>
      </c>
      <c r="C7" s="1">
        <v>10.4</v>
      </c>
    </row>
    <row r="8" spans="1:4" x14ac:dyDescent="0.45">
      <c r="A8" s="1" t="s">
        <v>265</v>
      </c>
      <c r="B8" s="1" t="s">
        <v>266</v>
      </c>
      <c r="C8" s="1">
        <v>21.3</v>
      </c>
    </row>
    <row r="9" spans="1:4" x14ac:dyDescent="0.45">
      <c r="A9" s="1" t="s">
        <v>265</v>
      </c>
      <c r="B9" s="1" t="s">
        <v>267</v>
      </c>
      <c r="C9" s="1">
        <v>3.9</v>
      </c>
    </row>
    <row r="10" spans="1:4" x14ac:dyDescent="0.45">
      <c r="A10" s="1" t="s">
        <v>265</v>
      </c>
      <c r="B10" s="1" t="s">
        <v>268</v>
      </c>
      <c r="C10" s="1">
        <v>3.4</v>
      </c>
    </row>
    <row r="11" spans="1:4" x14ac:dyDescent="0.45">
      <c r="A11" s="1" t="s">
        <v>265</v>
      </c>
      <c r="B11" s="1" t="s">
        <v>269</v>
      </c>
      <c r="C11" s="1">
        <v>1.2</v>
      </c>
    </row>
    <row r="12" spans="1:4" x14ac:dyDescent="0.45">
      <c r="A12" s="1" t="s">
        <v>270</v>
      </c>
      <c r="B12" s="1" t="s">
        <v>271</v>
      </c>
      <c r="C12" s="1">
        <v>22.9</v>
      </c>
    </row>
    <row r="13" spans="1:4" x14ac:dyDescent="0.45">
      <c r="A13" s="1" t="s">
        <v>270</v>
      </c>
      <c r="B13" s="1" t="s">
        <v>272</v>
      </c>
      <c r="C13" s="1">
        <v>2.8</v>
      </c>
    </row>
    <row r="14" spans="1:4" x14ac:dyDescent="0.45">
      <c r="A14" s="1" t="s">
        <v>270</v>
      </c>
      <c r="B14" s="1" t="s">
        <v>273</v>
      </c>
      <c r="C14" s="1">
        <v>1.1000000000000001</v>
      </c>
    </row>
    <row r="15" spans="1:4" x14ac:dyDescent="0.45">
      <c r="A15" s="1" t="s">
        <v>270</v>
      </c>
      <c r="B15" s="1" t="s">
        <v>274</v>
      </c>
      <c r="C15" s="1">
        <v>2.4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226F5-F25B-4EB6-835A-E9A21E6F3EB4}">
  <dimension ref="B1:I10"/>
  <sheetViews>
    <sheetView workbookViewId="0">
      <selection activeCell="E5" sqref="B2:E5"/>
    </sheetView>
  </sheetViews>
  <sheetFormatPr defaultRowHeight="14.25" x14ac:dyDescent="0.45"/>
  <cols>
    <col min="1" max="1" width="9.06640625" style="1"/>
    <col min="2" max="2" width="31.19921875" style="1" bestFit="1" customWidth="1"/>
    <col min="3" max="16384" width="9.06640625" style="1"/>
  </cols>
  <sheetData>
    <row r="1" spans="2:9" ht="20.65" x14ac:dyDescent="0.6">
      <c r="B1" s="86" t="s">
        <v>277</v>
      </c>
      <c r="C1" s="2"/>
      <c r="D1" s="2"/>
      <c r="E1" s="2"/>
    </row>
    <row r="2" spans="2:9" x14ac:dyDescent="0.45">
      <c r="B2" s="2"/>
      <c r="C2" s="2"/>
      <c r="D2" s="2"/>
      <c r="E2" s="2"/>
    </row>
    <row r="3" spans="2:9" ht="15.75" thickBot="1" x14ac:dyDescent="0.5">
      <c r="B3" s="81"/>
      <c r="C3" s="82" t="s">
        <v>220</v>
      </c>
      <c r="D3" s="82" t="s">
        <v>221</v>
      </c>
      <c r="E3" s="82" t="s">
        <v>222</v>
      </c>
    </row>
    <row r="4" spans="2:9" ht="15.4" x14ac:dyDescent="0.45">
      <c r="B4" s="83" t="s">
        <v>225</v>
      </c>
      <c r="C4" s="84">
        <f>'2.2 P&amp;L statement'!C4</f>
        <v>14.500341000000001</v>
      </c>
      <c r="D4" s="84">
        <f>'2.2 P&amp;L statement'!D4</f>
        <v>16.148295364999999</v>
      </c>
      <c r="E4" s="84">
        <f>'2.2 P&amp;L statement'!E4</f>
        <v>15.047803019</v>
      </c>
    </row>
    <row r="5" spans="2:9" ht="15.4" x14ac:dyDescent="0.45">
      <c r="B5" s="83" t="s">
        <v>66</v>
      </c>
      <c r="C5" s="84">
        <f>'2.2 P&amp;L statement'!C5</f>
        <v>4.7948561920000001</v>
      </c>
      <c r="D5" s="84">
        <f>'2.2 P&amp;L statement'!D5</f>
        <v>6.9602176449999993</v>
      </c>
      <c r="E5" s="84">
        <f>'2.2 P&amp;L statement'!E5</f>
        <v>6.3736175140000002</v>
      </c>
    </row>
    <row r="6" spans="2:9" ht="15.4" x14ac:dyDescent="0.45">
      <c r="B6" s="83" t="s">
        <v>228</v>
      </c>
      <c r="C6" s="84">
        <f>'2.2 P&amp;L statement'!C6</f>
        <v>3.2200542519999997</v>
      </c>
      <c r="D6" s="84">
        <f>'2.2 P&amp;L statement'!D6</f>
        <v>2.9240919949999999</v>
      </c>
      <c r="E6" s="84">
        <f>'2.2 P&amp;L statement'!E6</f>
        <v>4.8931777299999997</v>
      </c>
    </row>
    <row r="7" spans="2:9" ht="15.4" x14ac:dyDescent="0.45">
      <c r="B7" s="83"/>
      <c r="C7" s="85"/>
      <c r="D7" s="85"/>
      <c r="E7" s="85"/>
    </row>
    <row r="10" spans="2:9" x14ac:dyDescent="0.45">
      <c r="I10" s="87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97969-E649-4E41-ABC2-40E086F945B1}">
  <dimension ref="B1:E5"/>
  <sheetViews>
    <sheetView workbookViewId="0">
      <selection activeCell="S37" sqref="S37"/>
    </sheetView>
  </sheetViews>
  <sheetFormatPr defaultRowHeight="14.25" x14ac:dyDescent="0.45"/>
  <cols>
    <col min="1" max="1" width="2.19921875" style="1" customWidth="1"/>
    <col min="2" max="2" width="31.19921875" style="1" bestFit="1" customWidth="1"/>
    <col min="3" max="3" width="15.46484375" style="1" bestFit="1" customWidth="1"/>
    <col min="4" max="16384" width="9.06640625" style="1"/>
  </cols>
  <sheetData>
    <row r="1" spans="2:5" ht="20.65" x14ac:dyDescent="0.6">
      <c r="B1" s="86" t="s">
        <v>280</v>
      </c>
      <c r="C1" s="2"/>
      <c r="D1" s="2"/>
      <c r="E1" s="2"/>
    </row>
    <row r="2" spans="2:5" x14ac:dyDescent="0.45">
      <c r="B2" s="2"/>
      <c r="C2" s="2"/>
      <c r="D2" s="2"/>
      <c r="E2" s="2"/>
    </row>
    <row r="3" spans="2:5" ht="15.75" thickBot="1" x14ac:dyDescent="0.5">
      <c r="B3" s="81"/>
      <c r="C3" s="82" t="s">
        <v>220</v>
      </c>
      <c r="D3" s="82" t="s">
        <v>221</v>
      </c>
      <c r="E3" s="82" t="s">
        <v>222</v>
      </c>
    </row>
    <row r="4" spans="2:5" ht="15.4" x14ac:dyDescent="0.45">
      <c r="B4" s="83" t="s">
        <v>279</v>
      </c>
      <c r="C4" s="84">
        <f>'2.2 P&amp;L statement'!C7</f>
        <v>22.515251444</v>
      </c>
      <c r="D4" s="84">
        <f>'2.2 P&amp;L statement'!D7</f>
        <v>26.032605005000001</v>
      </c>
      <c r="E4" s="84">
        <f>'2.2 P&amp;L statement'!E7</f>
        <v>26.314598263000001</v>
      </c>
    </row>
    <row r="5" spans="2:5" ht="15.4" x14ac:dyDescent="0.45">
      <c r="B5" s="83" t="s">
        <v>278</v>
      </c>
      <c r="C5" s="85">
        <f>'2.2 P&amp;L statement'!C27</f>
        <v>0.80329281353949789</v>
      </c>
      <c r="D5" s="85">
        <f>'2.2 P&amp;L statement'!D27</f>
        <v>0.79014052477841912</v>
      </c>
      <c r="E5" s="85">
        <f>'2.2 P&amp;L statement'!E27</f>
        <v>0.78437246085651935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45E47-1135-4A6B-A283-A77DFB137567}">
  <dimension ref="B1:C10"/>
  <sheetViews>
    <sheetView topLeftCell="B1" workbookViewId="0">
      <selection activeCell="C16" sqref="C16"/>
    </sheetView>
  </sheetViews>
  <sheetFormatPr defaultRowHeight="14.25" x14ac:dyDescent="0.45"/>
  <cols>
    <col min="1" max="1" width="2.1328125" style="1" customWidth="1"/>
    <col min="2" max="2" width="20.9296875" style="1" bestFit="1" customWidth="1"/>
    <col min="3" max="16384" width="9.06640625" style="1"/>
  </cols>
  <sheetData>
    <row r="1" spans="2:3" ht="15.4" x14ac:dyDescent="0.45">
      <c r="B1" s="3" t="s">
        <v>281</v>
      </c>
    </row>
    <row r="4" spans="2:3" x14ac:dyDescent="0.45">
      <c r="B4" s="1" t="s">
        <v>282</v>
      </c>
      <c r="C4" s="89">
        <f>'2.2 P&amp;L statement'!D17</f>
        <v>4.2437563400000018</v>
      </c>
    </row>
    <row r="5" spans="2:3" x14ac:dyDescent="0.45">
      <c r="B5" s="1" t="s">
        <v>283</v>
      </c>
      <c r="C5" s="89">
        <f>'2.2 P&amp;L statement'!E7-'2.2 P&amp;L statement'!D7</f>
        <v>0.28199325799999997</v>
      </c>
    </row>
    <row r="6" spans="2:3" x14ac:dyDescent="0.45">
      <c r="B6" s="1" t="s">
        <v>284</v>
      </c>
      <c r="C6" s="89">
        <f>'2.2 P&amp;L statement'!E8-'2.2 P&amp;L statement'!D8</f>
        <v>-0.21096324199999916</v>
      </c>
    </row>
    <row r="7" spans="2:3" x14ac:dyDescent="0.45">
      <c r="B7" s="1" t="s">
        <v>285</v>
      </c>
      <c r="C7" s="89">
        <f>SUM('2.2 P&amp;L statement'!E10:E16)-SUM('2.2 P&amp;L statement'!D10:D16)</f>
        <v>0.97571168500000027</v>
      </c>
    </row>
    <row r="8" spans="2:3" x14ac:dyDescent="0.45">
      <c r="B8" s="1" t="s">
        <v>286</v>
      </c>
      <c r="C8" s="89">
        <f>'2.2 P&amp;L statement'!E17</f>
        <v>5.2904980409999993</v>
      </c>
    </row>
    <row r="10" spans="2:3" x14ac:dyDescent="0.45">
      <c r="B10" s="88" t="s">
        <v>248</v>
      </c>
      <c r="C10" s="90">
        <f>SUM(C4:C7)-C8</f>
        <v>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3912BD5-6F64-42E2-9360-3E2DE587F5BF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019EBD1D-AA9B-419F-B012-5D4684F01FA5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0B7DD8A6-770C-4886-A05A-02946B3B3738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Chart</vt:lpstr>
      <vt:lpstr>Bridge Chart</vt:lpstr>
      <vt:lpstr>Treemap Charts</vt:lpstr>
      <vt:lpstr>Doughnut Chart</vt:lpstr>
      <vt:lpstr>Area Chart</vt:lpstr>
      <vt:lpstr>EBITDA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2021-05-10T21:18:09Z</dcterms:modified>
</cp:coreProperties>
</file>